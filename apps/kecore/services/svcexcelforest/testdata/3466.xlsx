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645" windowHeight="12375" activeTab="1"/>
  </bookViews>
  <sheets>
    <sheet name="Sheet1" sheetId="1" r:id="rId1"/>
    <sheet name="全市和分区" sheetId="2" r:id="rId2"/>
    <sheet name="1" sheetId="3" r:id="rId3"/>
    <sheet name="2" sheetId="4" r:id="rId4"/>
    <sheet name="3" sheetId="17" r:id="rId5"/>
    <sheet name="4" sheetId="5" r:id="rId6"/>
    <sheet name="5" sheetId="6" r:id="rId7"/>
    <sheet name="6" sheetId="18" r:id="rId8"/>
    <sheet name="7" sheetId="7" r:id="rId9"/>
    <sheet name="8" sheetId="9" r:id="rId10"/>
    <sheet name="9" sheetId="10" r:id="rId11"/>
    <sheet name="10" sheetId="11" r:id="rId12"/>
    <sheet name="11" sheetId="12" r:id="rId13"/>
    <sheet name="12" sheetId="13" r:id="rId14"/>
    <sheet name="13" sheetId="14" r:id="rId15"/>
    <sheet name="14" sheetId="15" r:id="rId16"/>
    <sheet name="指标解释" sheetId="16" r:id="rId17"/>
  </sheets>
  <externalReferences>
    <externalReference r:id="rId18"/>
  </externalReferences>
  <definedNames>
    <definedName name="_GoBack" localSheetId="1">全市和分区!$B$11</definedName>
    <definedName name="同比上限值">[1]Sheet2!$B$2</definedName>
    <definedName name="同比下限值">[1]Sheet2!$C$2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<sst xmlns="http://schemas.openxmlformats.org/spreadsheetml/2006/main" count="1181" uniqueCount="451">
  <si>
    <t>杭州数据图表</t>
  </si>
  <si>
    <t>2025.3</t>
  </si>
  <si>
    <t>目录</t>
  </si>
  <si>
    <t>CONTENTS</t>
  </si>
  <si>
    <t>图表</t>
  </si>
  <si>
    <t>杭州数据</t>
  </si>
  <si>
    <t>一、地区生产总值</t>
  </si>
  <si>
    <t>“6+2”主要指标、地区生产总值  /15</t>
  </si>
  <si>
    <t>图1-1 地区生产总值累计增幅/1</t>
  </si>
  <si>
    <t>重点产业  /16</t>
  </si>
  <si>
    <t>图1-2 第一产业增加值累计增幅/1</t>
  </si>
  <si>
    <t>工业  /17</t>
  </si>
  <si>
    <t>图1-3 第二产业增加值累计增幅/2</t>
  </si>
  <si>
    <t>农业、固定资产投资  /18</t>
  </si>
  <si>
    <t>图1-4 第三产业增加值累计增幅/2</t>
  </si>
  <si>
    <t>房地产、国内贸易  /19</t>
  </si>
  <si>
    <t>二、数字经济</t>
  </si>
  <si>
    <t>对外贸易、招商引资  /20</t>
  </si>
  <si>
    <t>图2-1 数字经济核心产业增加值累计增幅/3</t>
  </si>
  <si>
    <t>工业企业效益  /21</t>
  </si>
  <si>
    <t>图2-2 数字经济核心产业制造业增加值累计增幅/3</t>
  </si>
  <si>
    <t>服务业企业效益  /22</t>
  </si>
  <si>
    <t>三、工业</t>
  </si>
  <si>
    <t>人民生活  /23</t>
  </si>
  <si>
    <t>图3-1 规模以上工业增加值月度增幅/4</t>
  </si>
  <si>
    <t>金融 /24</t>
  </si>
  <si>
    <t>图3-2 工业用电量增幅/4</t>
  </si>
  <si>
    <t>创业创新 、旅游/25</t>
  </si>
  <si>
    <t>四、投资</t>
  </si>
  <si>
    <t>用电量、交通运输、邮政业 /26</t>
  </si>
  <si>
    <t>图4-1 固定资产投资累计增幅/5</t>
  </si>
  <si>
    <t>劳动保障、环境 /27</t>
  </si>
  <si>
    <t>图4-2 房地产开发投资累计增幅/5</t>
  </si>
  <si>
    <t>价格指数  /28</t>
  </si>
  <si>
    <t>图4-3工业投资累计增幅/6</t>
  </si>
  <si>
    <t>区、县（市）经济</t>
  </si>
  <si>
    <t>图4-4 制造业投资累计增幅/6</t>
  </si>
  <si>
    <t>主要指标解释</t>
  </si>
  <si>
    <t>五、消费</t>
  </si>
  <si>
    <t>图5-1  社会消费品零售额累计增幅/7</t>
  </si>
  <si>
    <t>图5-2  汽车零售额累计增幅/7</t>
  </si>
  <si>
    <t>六、人民生活</t>
  </si>
  <si>
    <t>图6-1 城镇常住居民人均可支配收入增幅/8</t>
  </si>
  <si>
    <t>图6-2 农村常住居民人均可支配收入增幅/8</t>
  </si>
  <si>
    <t>七、金融</t>
  </si>
  <si>
    <t>图7-1  本外币存款余额累计增幅/9</t>
  </si>
  <si>
    <t>图7-2  本外币贷款余额累计增幅/9</t>
  </si>
  <si>
    <t>八、对外贸易</t>
  </si>
  <si>
    <t>图8-1  进出口额增幅/10</t>
  </si>
  <si>
    <t>图8-2  出口额增幅/10</t>
  </si>
  <si>
    <t>九、招商引资</t>
  </si>
  <si>
    <t>图9-1  实际利用外资累计增幅/11</t>
  </si>
  <si>
    <t>图9-2  公路货运量累计增幅/11</t>
  </si>
  <si>
    <t>十、环境</t>
  </si>
  <si>
    <t>图10-1 空气质量当月优良天数、优良率/12</t>
  </si>
  <si>
    <t>图10-2 当月PM2.5平均浓度/12</t>
  </si>
  <si>
    <t>十一、价格指数</t>
  </si>
  <si>
    <t>图11-1  居民消费价格指数/13</t>
  </si>
  <si>
    <t>图11-2  新建商品住宅价格指数/13</t>
  </si>
  <si>
    <t>图11-3  工业生产者购进价格指数/14</t>
  </si>
  <si>
    <t>图11-4  工业生产者出厂价格指数/14</t>
  </si>
  <si>
    <t>“6+2”主要指标</t>
  </si>
  <si>
    <t>重点产业</t>
  </si>
  <si>
    <t>工业</t>
  </si>
  <si>
    <t>农业</t>
  </si>
  <si>
    <t>房地产</t>
  </si>
  <si>
    <t>对外贸易</t>
  </si>
  <si>
    <t>工业企业效益</t>
  </si>
  <si>
    <t>服务业企业效益</t>
  </si>
  <si>
    <t>人民生活</t>
  </si>
  <si>
    <t>金融</t>
  </si>
  <si>
    <t>创业创新</t>
  </si>
  <si>
    <t>用电量</t>
  </si>
  <si>
    <t>劳动保障</t>
  </si>
  <si>
    <t>价格指数</t>
  </si>
  <si>
    <t>指标</t>
  </si>
  <si>
    <t>1-3月（亿元）</t>
  </si>
  <si>
    <t>同比±%</t>
  </si>
  <si>
    <t>2024年（亿元）</t>
  </si>
  <si>
    <t>占GDP比重±%</t>
  </si>
  <si>
    <t>占规上工业比重±%</t>
  </si>
  <si>
    <t>1-3月（万平方米）</t>
  </si>
  <si>
    <t>3月（亿元）</t>
  </si>
  <si>
    <t>1-2月</t>
  </si>
  <si>
    <t>一季度（元）</t>
  </si>
  <si>
    <t>指     标</t>
  </si>
  <si>
    <t>3月末（亿元）</t>
  </si>
  <si>
    <t>比年初±（亿元）</t>
  </si>
  <si>
    <t>上年同期比年初±（亿元）</t>
  </si>
  <si>
    <t>1-3月</t>
  </si>
  <si>
    <t>3月（亿千瓦时）</t>
  </si>
  <si>
    <t xml:space="preserve"> 1-3月（亿千瓦时）</t>
  </si>
  <si>
    <t>1-3月（万人）</t>
  </si>
  <si>
    <t>3月</t>
  </si>
  <si>
    <t>上年同期=100</t>
  </si>
  <si>
    <t>*地区生产总值</t>
  </si>
  <si>
    <t>*第三产业增加值</t>
  </si>
  <si>
    <t>规上工业增加值</t>
  </si>
  <si>
    <t>战略性新兴产业增加值</t>
  </si>
  <si>
    <t>占规上工业比重（%）</t>
  </si>
  <si>
    <t>高新技术产业增加值</t>
  </si>
  <si>
    <t>装备制造业增加值</t>
  </si>
  <si>
    <t>规上工业研发费用支出</t>
  </si>
  <si>
    <t>1-2月（亿元）</t>
  </si>
  <si>
    <t>占规上工业营业收入比重（%）</t>
  </si>
  <si>
    <t>比重较上年同期增减百分点</t>
  </si>
  <si>
    <t>固定资产投资</t>
  </si>
  <si>
    <t>1-3月固定资产投资增长（%）</t>
  </si>
  <si>
    <t>1-3月工业投资增长（%）</t>
  </si>
  <si>
    <t>社会消费品零售总额</t>
  </si>
  <si>
    <t>规上服务业营业收入</t>
  </si>
  <si>
    <t>进出口额</t>
  </si>
  <si>
    <t>出口额</t>
  </si>
  <si>
    <t>实际利用外资</t>
  </si>
  <si>
    <t>1-3月（亿美元）</t>
  </si>
  <si>
    <t>*城镇常住居民人均可支配收入</t>
  </si>
  <si>
    <t>*农村常住居民人均可支配收入</t>
  </si>
  <si>
    <t>*数字经济核心产业增加值</t>
  </si>
  <si>
    <t>—</t>
  </si>
  <si>
    <t>*农林牧渔业增加值</t>
  </si>
  <si>
    <t>房地产开发施工面积</t>
  </si>
  <si>
    <t>货物贸易进出口额</t>
  </si>
  <si>
    <t>规上工业企业</t>
  </si>
  <si>
    <t>规上服务业企业</t>
  </si>
  <si>
    <t>*全市居民人均可支配收入</t>
  </si>
  <si>
    <t>新设市场主体（万户）</t>
  </si>
  <si>
    <t>期末基本养老保险参保人数</t>
  </si>
  <si>
    <t>上月=100</t>
  </si>
  <si>
    <t>*服务业增加值</t>
  </si>
  <si>
    <t>*文化产业增加值</t>
  </si>
  <si>
    <t xml:space="preserve">  其中：高新技术产业</t>
  </si>
  <si>
    <t xml:space="preserve">   其中：农林牧渔服务业</t>
  </si>
  <si>
    <t xml:space="preserve">  其中：住宅</t>
  </si>
  <si>
    <r>
      <rPr>
        <sz val="10"/>
        <rFont val="宋体"/>
        <charset val="134"/>
      </rPr>
      <t xml:space="preserve"> </t>
    </r>
    <r>
      <rPr>
        <sz val="10"/>
        <rFont val="宋体"/>
        <charset val="134"/>
      </rPr>
      <t xml:space="preserve"> </t>
    </r>
    <r>
      <rPr>
        <sz val="10"/>
        <rFont val="宋体"/>
        <charset val="134"/>
      </rPr>
      <t>出口</t>
    </r>
  </si>
  <si>
    <t xml:space="preserve">    家数（家）</t>
  </si>
  <si>
    <t>-</t>
  </si>
  <si>
    <t xml:space="preserve">  单位数（个）</t>
  </si>
  <si>
    <t>其中：工资性收入</t>
  </si>
  <si>
    <t xml:space="preserve">金融机构本外币存款余额
</t>
  </si>
  <si>
    <t>其中：企业（万户）</t>
  </si>
  <si>
    <t>全市用电量</t>
  </si>
  <si>
    <t xml:space="preserve">   其中：职工基本养老保险参保人数</t>
  </si>
  <si>
    <t>居民消费价格指数</t>
  </si>
  <si>
    <t>全国</t>
  </si>
  <si>
    <t>全省</t>
  </si>
  <si>
    <t xml:space="preserve"> 全市</t>
  </si>
  <si>
    <t>*健康产业增加值</t>
  </si>
  <si>
    <t xml:space="preserve">       装备制造业</t>
  </si>
  <si>
    <t>*农林牧渔业总产值</t>
  </si>
  <si>
    <t>房地产新开工面积</t>
  </si>
  <si>
    <t xml:space="preserve">    其中：不含省属</t>
  </si>
  <si>
    <t xml:space="preserve">    资产总计（亿元）</t>
  </si>
  <si>
    <t xml:space="preserve">  资产总计（亿元）</t>
  </si>
  <si>
    <t xml:space="preserve">           经营净收入</t>
  </si>
  <si>
    <t xml:space="preserve">  其中：住户存款</t>
  </si>
  <si>
    <t xml:space="preserve">            个体工商户（万户）</t>
  </si>
  <si>
    <t xml:space="preserve">  其中：全行业用电量</t>
  </si>
  <si>
    <t>期末基本医疗保险参保人数（1-2月）</t>
  </si>
  <si>
    <t xml:space="preserve">  食品烟酒</t>
  </si>
  <si>
    <t xml:space="preserve">    上城区</t>
  </si>
  <si>
    <t>*规上数字经济核心产业营业收入</t>
  </si>
  <si>
    <t xml:space="preserve">       战略性新兴产业</t>
  </si>
  <si>
    <t xml:space="preserve">   其中：传统特色产业产值</t>
  </si>
  <si>
    <t xml:space="preserve">    其中：机电产品</t>
  </si>
  <si>
    <t xml:space="preserve">    负债合计（亿元）</t>
  </si>
  <si>
    <t xml:space="preserve">  营业收入（亿元）</t>
  </si>
  <si>
    <t xml:space="preserve">           财产净收入</t>
  </si>
  <si>
    <t xml:space="preserve">             非金融企业存款</t>
  </si>
  <si>
    <t>期末在册市场主体（万户）</t>
  </si>
  <si>
    <t xml:space="preserve">       工业用电量</t>
  </si>
  <si>
    <t xml:space="preserve">   其中：职工基本医疗保险参保人数</t>
  </si>
  <si>
    <t xml:space="preserve">  衣着</t>
  </si>
  <si>
    <t>全市</t>
  </si>
  <si>
    <t xml:space="preserve">    拱墅区</t>
  </si>
  <si>
    <t xml:space="preserve">      其中： 计算机、通信和其他电子设备制造业</t>
  </si>
  <si>
    <t xml:space="preserve">  其中：大型企业</t>
  </si>
  <si>
    <t>注：指标前*号为季度数据，按季发布。</t>
  </si>
  <si>
    <t>房地产开发竣工面积</t>
  </si>
  <si>
    <t xml:space="preserve">          高新技术</t>
  </si>
  <si>
    <t xml:space="preserve">    营业收入（亿元）</t>
  </si>
  <si>
    <r>
      <rPr>
        <sz val="10"/>
        <rFont val="宋体"/>
        <charset val="134"/>
      </rPr>
      <t xml:space="preserve">  </t>
    </r>
    <r>
      <rPr>
        <sz val="10"/>
        <rFont val="宋体"/>
        <charset val="134"/>
      </rPr>
      <t xml:space="preserve">  其中：高技术服务业</t>
    </r>
  </si>
  <si>
    <t xml:space="preserve">           转移净收入</t>
  </si>
  <si>
    <t xml:space="preserve">金融机构本外币贷款余额
</t>
  </si>
  <si>
    <t xml:space="preserve">  其中：企业（万户）</t>
  </si>
  <si>
    <t xml:space="preserve">       建筑业用电量</t>
  </si>
  <si>
    <t>期末失业保险参保人数</t>
  </si>
  <si>
    <t xml:space="preserve">  居住</t>
  </si>
  <si>
    <t xml:space="preserve">    西湖区</t>
  </si>
  <si>
    <t>货物出口</t>
  </si>
  <si>
    <t xml:space="preserve">                   电子信息机电制造业</t>
  </si>
  <si>
    <t xml:space="preserve">       中型企业</t>
  </si>
  <si>
    <t xml:space="preserve">    其中：民营企业</t>
  </si>
  <si>
    <t xml:space="preserve">    营业成本（亿元）</t>
  </si>
  <si>
    <t xml:space="preserve">    其中：交通运输、仓储和邮政业</t>
  </si>
  <si>
    <t>*全市居民人均消费支出</t>
  </si>
  <si>
    <t xml:space="preserve">  其中：住户</t>
  </si>
  <si>
    <t xml:space="preserve">       服务业用电量</t>
  </si>
  <si>
    <t>城镇新增就业人数</t>
  </si>
  <si>
    <t xml:space="preserve">  生活用品及服务</t>
  </si>
  <si>
    <t xml:space="preserve">    滨江区</t>
  </si>
  <si>
    <t>规上工业研发费用占营业收入比重（1-2月，%）</t>
  </si>
  <si>
    <t>比上年同期+0.18</t>
  </si>
  <si>
    <t xml:space="preserve">                  专用电子设备制造业</t>
  </si>
  <si>
    <t xml:space="preserve">       小微企业</t>
  </si>
  <si>
    <t>新建商品房网签成交面积</t>
  </si>
  <si>
    <t xml:space="preserve">    其中：美国</t>
  </si>
  <si>
    <t xml:space="preserve">    利税总额（亿元）</t>
  </si>
  <si>
    <r>
      <rPr>
        <sz val="10"/>
        <rFont val="宋体"/>
        <charset val="134"/>
      </rPr>
      <t xml:space="preserve">       </t>
    </r>
    <r>
      <rPr>
        <sz val="10"/>
        <rFont val="宋体"/>
        <charset val="134"/>
      </rPr>
      <t xml:space="preserve"> </t>
    </r>
    <r>
      <rPr>
        <sz val="10"/>
        <rFont val="宋体"/>
        <charset val="134"/>
      </rPr>
      <t xml:space="preserve"> 信息传输、软件和信息技术服务业</t>
    </r>
  </si>
  <si>
    <t xml:space="preserve">    其中： 短期贷款</t>
  </si>
  <si>
    <t>发明专利授权量（万件，2024年）</t>
  </si>
  <si>
    <t xml:space="preserve">       城乡居民生活用电量</t>
  </si>
  <si>
    <t xml:space="preserve">  交通通信</t>
  </si>
  <si>
    <t xml:space="preserve">    萧山区</t>
  </si>
  <si>
    <t xml:space="preserve">                  电信、广播电视和卫星传输服务业</t>
  </si>
  <si>
    <t xml:space="preserve">  其中：数字经济核心产业制造业增加值</t>
  </si>
  <si>
    <t xml:space="preserve">          欧盟</t>
  </si>
  <si>
    <t xml:space="preserve">    利润总额（亿元）</t>
  </si>
  <si>
    <r>
      <rPr>
        <sz val="10"/>
        <rFont val="宋体"/>
        <charset val="134"/>
      </rPr>
      <t xml:space="preserve">       </t>
    </r>
    <r>
      <rPr>
        <sz val="10"/>
        <rFont val="宋体"/>
        <charset val="134"/>
      </rPr>
      <t xml:space="preserve"> </t>
    </r>
    <r>
      <rPr>
        <sz val="10"/>
        <rFont val="宋体"/>
        <charset val="134"/>
      </rPr>
      <t xml:space="preserve"> 租赁和商务服务业</t>
    </r>
  </si>
  <si>
    <t xml:space="preserve">                 中长期贷款</t>
  </si>
  <si>
    <t xml:space="preserve">  教育文化娱乐</t>
  </si>
  <si>
    <t xml:space="preserve">    余杭区</t>
  </si>
  <si>
    <t>地区生产总值</t>
  </si>
  <si>
    <t xml:space="preserve">                  互联网及其相关服务业</t>
  </si>
  <si>
    <t xml:space="preserve">        节能环保制造业增加值</t>
  </si>
  <si>
    <t>新建商品房网签销售额（亿元）</t>
  </si>
  <si>
    <t xml:space="preserve">    其中：共建“一带一路”国家</t>
  </si>
  <si>
    <t xml:space="preserve">    亏损企业亏损总额（亿元）</t>
  </si>
  <si>
    <r>
      <rPr>
        <sz val="10"/>
        <rFont val="宋体"/>
        <charset val="134"/>
      </rPr>
      <t xml:space="preserve">       </t>
    </r>
    <r>
      <rPr>
        <sz val="10"/>
        <rFont val="宋体"/>
        <charset val="134"/>
      </rPr>
      <t xml:space="preserve"> </t>
    </r>
    <r>
      <rPr>
        <sz val="10"/>
        <rFont val="宋体"/>
        <charset val="134"/>
      </rPr>
      <t xml:space="preserve"> 科学研究和技术服务业</t>
    </r>
  </si>
  <si>
    <t xml:space="preserve">  其中：企（事）业单位贷款</t>
  </si>
  <si>
    <t>交通运输</t>
  </si>
  <si>
    <t>环  境</t>
  </si>
  <si>
    <t xml:space="preserve">  医疗保健</t>
  </si>
  <si>
    <t xml:space="preserve">    临平区</t>
  </si>
  <si>
    <t xml:space="preserve">                  软件和信息技术服务业</t>
  </si>
  <si>
    <t xml:space="preserve">        健康产品制造业增加值</t>
  </si>
  <si>
    <t xml:space="preserve">    其中：跨境电商（亿元，1-2月）</t>
  </si>
  <si>
    <t xml:space="preserve">    企业亏损面（%）</t>
  </si>
  <si>
    <t>上升1.2个百分点</t>
  </si>
  <si>
    <t xml:space="preserve">         水利、环境和公共设施管理业</t>
  </si>
  <si>
    <t>旅游</t>
  </si>
  <si>
    <t xml:space="preserve">  1-3月</t>
  </si>
  <si>
    <t xml:space="preserve">  其他用品及服务</t>
  </si>
  <si>
    <t xml:space="preserve">    钱塘区</t>
  </si>
  <si>
    <t xml:space="preserve">                  文化数字内容及其服务业</t>
  </si>
  <si>
    <t xml:space="preserve">        人工智能产业制造业增加值</t>
  </si>
  <si>
    <t xml:space="preserve">  第一产业</t>
  </si>
  <si>
    <t>新建商品房可售面积</t>
  </si>
  <si>
    <t xml:space="preserve">  进口</t>
  </si>
  <si>
    <t xml:space="preserve">    技术（研究）开发费（亿元）</t>
  </si>
  <si>
    <t xml:space="preserve">         居民服务、修理和其他服务业</t>
  </si>
  <si>
    <t>公路货运量(亿吨)</t>
  </si>
  <si>
    <t>市区空气质量优良天数（按照AQI标准）(天，3月)</t>
  </si>
  <si>
    <t>消费品价格指数</t>
  </si>
  <si>
    <t xml:space="preserve">    富阳区</t>
  </si>
  <si>
    <t>*五大产业生态圈营业收入</t>
  </si>
  <si>
    <t xml:space="preserve">  其中：十七大重点传统制造业增加值</t>
  </si>
  <si>
    <t xml:space="preserve">  第二产业</t>
  </si>
  <si>
    <t>服务贸易出口额（亿美元，1-2月）</t>
  </si>
  <si>
    <t>增减百分点</t>
  </si>
  <si>
    <t xml:space="preserve">         教育</t>
  </si>
  <si>
    <t>*城镇常住居民人均消费支出</t>
  </si>
  <si>
    <t>*接待游客总人次（万人次，2023年）</t>
  </si>
  <si>
    <t>公路货运周转量(亿吨公里)</t>
  </si>
  <si>
    <t>市区空气质量优良率（按照AQI标准）(%，3月)</t>
  </si>
  <si>
    <t>提高0个百分点</t>
  </si>
  <si>
    <t>服务价格指数</t>
  </si>
  <si>
    <t xml:space="preserve">    临安区</t>
  </si>
  <si>
    <t xml:space="preserve">     其中： 智能物联</t>
  </si>
  <si>
    <t xml:space="preserve">        八大高耗能产业增加值</t>
  </si>
  <si>
    <t xml:space="preserve">  第三产业</t>
  </si>
  <si>
    <t>注：新建商品房相关数据来源于住保房管局。</t>
  </si>
  <si>
    <t xml:space="preserve">    工业产品销售率（%）</t>
  </si>
  <si>
    <t xml:space="preserve">         卫生和社会工作</t>
  </si>
  <si>
    <t>*旅游总收入（亿元，2023年）</t>
  </si>
  <si>
    <t>水路货运量(亿吨)</t>
  </si>
  <si>
    <r>
      <rPr>
        <sz val="10"/>
        <color rgb="FF000000"/>
        <rFont val="宋体"/>
        <charset val="134"/>
      </rPr>
      <t>市区PM</t>
    </r>
    <r>
      <rPr>
        <sz val="6"/>
        <color rgb="FF000000"/>
        <rFont val="宋体"/>
        <charset val="134"/>
      </rPr>
      <t>2.5</t>
    </r>
    <r>
      <rPr>
        <sz val="10"/>
        <color rgb="FF000000"/>
        <rFont val="宋体"/>
        <charset val="134"/>
      </rPr>
      <t>平均浓度（</t>
    </r>
    <r>
      <rPr>
        <sz val="10"/>
        <color rgb="FF000000"/>
        <rFont val="DejaVu Sans"/>
        <charset val="134"/>
      </rPr>
      <t>µ</t>
    </r>
    <r>
      <rPr>
        <sz val="10"/>
        <color rgb="FF000000"/>
        <rFont val="宋体"/>
        <charset val="134"/>
      </rPr>
      <t>g/m3，3月）</t>
    </r>
  </si>
  <si>
    <t>工业生产者出厂价格指数</t>
  </si>
  <si>
    <t xml:space="preserve">    桐庐县</t>
  </si>
  <si>
    <t xml:space="preserve">                  生物医药</t>
  </si>
  <si>
    <t xml:space="preserve">  其中：计算机、通信和其他电子设备制造业增加值</t>
  </si>
  <si>
    <t xml:space="preserve">  其中：民间项目投资</t>
  </si>
  <si>
    <t xml:space="preserve">    新产品产值率（%）</t>
  </si>
  <si>
    <t xml:space="preserve">         文化、体育和娱乐业</t>
  </si>
  <si>
    <t>保费收入（亿元）</t>
  </si>
  <si>
    <t>*国内旅游总人次（万人次，2023年）</t>
  </si>
  <si>
    <t>水路货运周转量(亿吨公里)</t>
  </si>
  <si>
    <t>单位GDP能耗降低率（统计局口径）（%，2024年）</t>
  </si>
  <si>
    <t>工业生产者购进价格指数</t>
  </si>
  <si>
    <t xml:space="preserve">    淳安县</t>
  </si>
  <si>
    <t xml:space="preserve">  农林牧渔业</t>
  </si>
  <si>
    <t xml:space="preserve">                  高端装备</t>
  </si>
  <si>
    <t xml:space="preserve">        电气机械和器材制造业增加值</t>
  </si>
  <si>
    <t xml:space="preserve">        工业投资</t>
  </si>
  <si>
    <t>国内贸易</t>
  </si>
  <si>
    <t>招商引资</t>
  </si>
  <si>
    <t xml:space="preserve">    总资产贡献率（%）</t>
  </si>
  <si>
    <t xml:space="preserve">  利税总额（亿元）</t>
  </si>
  <si>
    <t>期末境内外上市公司数（家）</t>
  </si>
  <si>
    <t>比年初新增4家</t>
  </si>
  <si>
    <t>*国内旅游收入（亿元，2023年）</t>
  </si>
  <si>
    <t>轨道交通客运量（万人次）</t>
  </si>
  <si>
    <t>单位GDP能耗降低率（发改考核口径）（%，2024年）</t>
  </si>
  <si>
    <t>新建商品住宅价格指数</t>
  </si>
  <si>
    <t xml:space="preserve">    建德市</t>
  </si>
  <si>
    <t xml:space="preserve">  工业</t>
  </si>
  <si>
    <t xml:space="preserve">                  新材料</t>
  </si>
  <si>
    <t xml:space="preserve">        通用设备制造业增加值</t>
  </si>
  <si>
    <t xml:space="preserve">             其中：制造业投资</t>
  </si>
  <si>
    <t xml:space="preserve">    资本保值增值率（%）</t>
  </si>
  <si>
    <t xml:space="preserve">  利润总额（亿元）</t>
  </si>
  <si>
    <t xml:space="preserve">  其中：期末境内上市公司数（家）</t>
  </si>
  <si>
    <t>比年初新增2家</t>
  </si>
  <si>
    <t>入境旅游总人次（万人次）</t>
  </si>
  <si>
    <t>规上工业能源消费（万吨标准煤）</t>
  </si>
  <si>
    <t>二手住宅价格指数</t>
  </si>
  <si>
    <t>注：规上服务业按照国家调查制度口径，不包括批发零售业、住宿餐饮业、房地产开发业和金融业企业。</t>
  </si>
  <si>
    <t xml:space="preserve">  建筑业</t>
  </si>
  <si>
    <t xml:space="preserve">                  绿色能源</t>
  </si>
  <si>
    <t xml:space="preserve">        烟草制品业增加值</t>
  </si>
  <si>
    <t xml:space="preserve">       高新技术产业投资</t>
  </si>
  <si>
    <t>批准外资项目数（个）</t>
  </si>
  <si>
    <t xml:space="preserve">    资产负债率（%）</t>
  </si>
  <si>
    <t xml:space="preserve">    其中：信息传输、软件和信息技术服务业</t>
  </si>
  <si>
    <t>新增境内外上市公司IPO融资额（亿元）</t>
  </si>
  <si>
    <t>旅游外汇收入（亿美元）</t>
  </si>
  <si>
    <t>邮政业</t>
  </si>
  <si>
    <t>规上工业单位增加值能耗（吨标煤/万元）</t>
  </si>
  <si>
    <t>注：海关分区县数据为小口径（不含省属企业）数据。</t>
  </si>
  <si>
    <t xml:space="preserve">  批发和零售业</t>
  </si>
  <si>
    <t xml:space="preserve">        医药制造业增加值</t>
  </si>
  <si>
    <t xml:space="preserve">       交通投资</t>
  </si>
  <si>
    <t xml:space="preserve">  商品零售</t>
  </si>
  <si>
    <t>总投资3000万美元以上项目数（个）</t>
  </si>
  <si>
    <t xml:space="preserve">    流动资产周转次数（次）</t>
  </si>
  <si>
    <t xml:space="preserve">               租赁和商务服务业</t>
  </si>
  <si>
    <t>*农村常住居民人均消费支出</t>
  </si>
  <si>
    <t>境内上市公司并购重组</t>
  </si>
  <si>
    <t xml:space="preserve">  其中：八大高耗能行业</t>
  </si>
  <si>
    <t xml:space="preserve">  交通运输、仓储和邮政业</t>
  </si>
  <si>
    <t xml:space="preserve">        汽车制造业增加值</t>
  </si>
  <si>
    <t xml:space="preserve">       生态环保、交通、能源和水利投资</t>
  </si>
  <si>
    <t xml:space="preserve">  餐饮收入</t>
  </si>
  <si>
    <t xml:space="preserve">  其中：新批总投资大于3000万美元项目数（个）</t>
  </si>
  <si>
    <t xml:space="preserve">               科学研究和技术服务业</t>
  </si>
  <si>
    <t xml:space="preserve">  企业家数（家）</t>
  </si>
  <si>
    <t>邮政行业业务收入(亿元)</t>
  </si>
  <si>
    <t xml:space="preserve">  住宿餐饮业</t>
  </si>
  <si>
    <t xml:space="preserve">        专用设备制造业增加值</t>
  </si>
  <si>
    <t xml:space="preserve">  其中：项目投资</t>
  </si>
  <si>
    <t>限额以上零售额</t>
  </si>
  <si>
    <t xml:space="preserve">       增资总投资大于3000万美元项目数（个）</t>
  </si>
  <si>
    <t xml:space="preserve">  并购重组次数（次）</t>
  </si>
  <si>
    <t xml:space="preserve">  其中：快递业务收入(亿元)</t>
  </si>
  <si>
    <t xml:space="preserve">  金融业</t>
  </si>
  <si>
    <t xml:space="preserve">        仪器仪表制造业增加值</t>
  </si>
  <si>
    <t xml:space="preserve">       房地产开发投资</t>
  </si>
  <si>
    <t xml:space="preserve">  其中：通过公共网络实现的商品销售</t>
  </si>
  <si>
    <t>实际利用外资（亿美元）</t>
  </si>
  <si>
    <t xml:space="preserve">  并购投资额（亿元）</t>
  </si>
  <si>
    <t>邮政行业寄递业务量(亿件)</t>
  </si>
  <si>
    <t xml:space="preserve">  房地产业</t>
  </si>
  <si>
    <t xml:space="preserve">        化学原料和化学制品制造业增加值</t>
  </si>
  <si>
    <t xml:space="preserve">          住宅投资</t>
  </si>
  <si>
    <t xml:space="preserve">  其中：汽车类</t>
  </si>
  <si>
    <t xml:space="preserve">  其中：第二产业</t>
  </si>
  <si>
    <t xml:space="preserve">  其中：快递业务总量(亿件)</t>
  </si>
  <si>
    <t xml:space="preserve">  营利性服务业</t>
  </si>
  <si>
    <t xml:space="preserve">        纺织业增加值</t>
  </si>
  <si>
    <t xml:space="preserve">  其中：工业技改投资</t>
  </si>
  <si>
    <t xml:space="preserve">                   其中：新能源汽车</t>
  </si>
  <si>
    <t xml:space="preserve">        第三产业</t>
  </si>
  <si>
    <t xml:space="preserve">  非营利性服务业</t>
  </si>
  <si>
    <t xml:space="preserve">        电力、热力生产和供应业增加值</t>
  </si>
  <si>
    <t xml:space="preserve">       装备制造业投资</t>
  </si>
  <si>
    <t xml:space="preserve">              石油及制品类</t>
  </si>
  <si>
    <t>高技术产业实际利用外资（亿美元）</t>
  </si>
  <si>
    <t>注：十七大重点传统制造业包括纺织、服装、皮革、化工、化纤、造纸、橡胶塑料、建材、有色金属加工、农副食品加工、家具、文体用品、金属制品、泵阀轴承、汽车零部件、低压电气、家用电器行业。</t>
  </si>
  <si>
    <t xml:space="preserve">              粮油、食品类</t>
  </si>
  <si>
    <t xml:space="preserve">             日用品类</t>
  </si>
  <si>
    <t xml:space="preserve">              服装、鞋帽、针纺织品类</t>
  </si>
  <si>
    <t xml:space="preserve">              化妆品类</t>
  </si>
  <si>
    <t xml:space="preserve">              家用电器和音像器材类</t>
  </si>
  <si>
    <t xml:space="preserve">              通讯器材类</t>
  </si>
  <si>
    <t xml:space="preserve">              文化办公用品类</t>
  </si>
  <si>
    <t>增幅</t>
  </si>
  <si>
    <t>总量</t>
  </si>
  <si>
    <t>图1-1    地区生产总值（亿元、%）</t>
  </si>
  <si>
    <t>2023年1季度</t>
  </si>
  <si>
    <t>上半年</t>
  </si>
  <si>
    <t>前三季度</t>
  </si>
  <si>
    <t>全年</t>
  </si>
  <si>
    <t>2024年1季度</t>
  </si>
  <si>
    <t>2025年1季度</t>
  </si>
  <si>
    <t>图1-2    第一产业增加值（亿元、%）</t>
  </si>
  <si>
    <t>图1-3    第二产业增加值（亿元、%）</t>
  </si>
  <si>
    <t>图1-4    第三产业增加值（亿元、%）</t>
  </si>
  <si>
    <t>图2-1    数字经济核心产业增加值（亿元、%）</t>
  </si>
  <si>
    <t>2022年全年</t>
  </si>
  <si>
    <t>图2-2    数字经济核心产业制造业增加值（亿元、%）</t>
  </si>
  <si>
    <t>4月</t>
  </si>
  <si>
    <t>5月</t>
  </si>
  <si>
    <t>6月</t>
  </si>
  <si>
    <t>7月</t>
  </si>
  <si>
    <t>8月</t>
  </si>
  <si>
    <t>9月</t>
  </si>
  <si>
    <t>10月</t>
  </si>
  <si>
    <t>11月</t>
  </si>
  <si>
    <t>12月</t>
  </si>
  <si>
    <t>当月增幅</t>
  </si>
  <si>
    <t>累计增幅</t>
  </si>
  <si>
    <t>累计总量</t>
  </si>
  <si>
    <t>图3-1 规模以上工业增加值（亿元、%）</t>
  </si>
  <si>
    <t>图3-2     工业用电量（亿千瓦时、%）</t>
  </si>
  <si>
    <t>图4-1     固定资产投资（亿元、%）</t>
  </si>
  <si>
    <t>图4-1     固定资产投资（%）</t>
  </si>
  <si>
    <t>图4-2     房地产开发投资（亿元、%）</t>
  </si>
  <si>
    <t>图4-2     房地产开发投资（%）</t>
  </si>
  <si>
    <t>图4-3    工业投资（亿元、%）</t>
  </si>
  <si>
    <t>s</t>
  </si>
  <si>
    <t>图4-4     制造业投资（亿元、%）</t>
  </si>
  <si>
    <t>图5-1   社会消费品零售总额（亿元、%）</t>
  </si>
  <si>
    <t>图5-2      汽车零售额（亿元、%）</t>
  </si>
  <si>
    <t>图6-1    城镇常住居民人均可支配收入（元、%）</t>
  </si>
  <si>
    <t>图6-2    农村常住居民人均可支配收入（元、%）</t>
  </si>
  <si>
    <t>余额</t>
  </si>
  <si>
    <t>图7-1    本外币存款余额（万亿、%）</t>
  </si>
  <si>
    <t>2月</t>
  </si>
  <si>
    <t>·</t>
  </si>
  <si>
    <t>图7-2    本外币贷款余额（万亿、%）</t>
  </si>
  <si>
    <t>图8-1        货物进出口（亿元、%）</t>
  </si>
  <si>
    <t>图8-2         货物出口（亿元、%）</t>
  </si>
  <si>
    <t>图9-1   实际利用外资（亿美元、%）</t>
  </si>
  <si>
    <t>图9-2    公路货运量（亿吨、%）</t>
  </si>
  <si>
    <t>优良天数</t>
  </si>
  <si>
    <t>优良率</t>
  </si>
  <si>
    <t>图10-1    空气质量当月优良天数、优良率（天、%）</t>
  </si>
  <si>
    <r>
      <rPr>
        <sz val="13.5"/>
        <color theme="1" tint="0.15"/>
        <rFont val="黑体"/>
        <charset val="134"/>
      </rPr>
      <t>图10-2      当月PM</t>
    </r>
    <r>
      <rPr>
        <sz val="9"/>
        <color theme="1" tint="0.15"/>
        <rFont val="黑体"/>
        <charset val="134"/>
      </rPr>
      <t>2.5</t>
    </r>
    <r>
      <rPr>
        <sz val="13.5"/>
        <color theme="1" tint="0.15"/>
        <rFont val="黑体"/>
        <charset val="134"/>
      </rPr>
      <t>平均浓度（</t>
    </r>
    <r>
      <rPr>
        <sz val="13.5"/>
        <color theme="1" tint="0.15"/>
        <rFont val="DejaVu Sans"/>
        <charset val="134"/>
      </rPr>
      <t>µ</t>
    </r>
    <r>
      <rPr>
        <sz val="13.5"/>
        <color theme="1" tint="0.15"/>
        <rFont val="黑体"/>
        <charset val="134"/>
      </rPr>
      <t>g/m3）</t>
    </r>
  </si>
  <si>
    <t>当月</t>
  </si>
  <si>
    <t>累计</t>
  </si>
  <si>
    <t>图11-1       居民消费价格同比指数</t>
  </si>
  <si>
    <t>图11-2        新建商品住宅价格同比指数</t>
  </si>
  <si>
    <t>图11-3       工业生产者购进价格同比指数</t>
  </si>
  <si>
    <t>图11-4        工业生产者出厂价格同比指数</t>
  </si>
  <si>
    <t>主要指标解读：</t>
  </si>
  <si>
    <t>地区生产总值（简称GDP）：是一个国家或地区的所有常住单位在一定时期内生产活动的最终成果，反映一个国家或地区的经济总体规模和经济结构。</t>
  </si>
  <si>
    <t>工业增加值：是指工业企业在报告期内以货币形式表现的工业生产活动的最终成果；是工业企业全部生产活动的总成果扣除在生产过程中消耗或转移的物质产品和外购劳务价值后的余额；是工业企业生产过程中新增加的价值。</t>
  </si>
  <si>
    <t>数字经济：数字经济指一个经济系统，在这个系统中，数字技术被广泛使用并由此带来了整个经济环境和经济活动的根本变化。数字经济也是一个信息和商务活动都数字化的全新的社会政治和经济系统。</t>
  </si>
  <si>
    <t>固定资产投资：指建造和购置固定资产的经济活动是以货币形式表现的在一定时期内建造和购置固定资产的工作量以及与此有关的费用的总称。它反映的是运用各种资金完成的用价值体现的实物工作量。</t>
  </si>
  <si>
    <t>社会消费品零售总额：指企业（单位、个体户）通过交易直接售给个人、社会集团非生产、非经营用的实物商品金额，以及提供餐饮服务所取得的收入金额。该指标所涉及的商品包括售给个人用于生活消费的商品，也包括售给社会集团用于非生产、非经营的商品。但纳入社会消费品零售总额统计的商品不包括企业和个人经营户用于生产经营和固定资产投资所使用的原材料、燃料和其他消耗品的价值量，也不包括居民用于购买商品房的支出和农民用于购买农业生产资料的支出费用。</t>
  </si>
  <si>
    <t>居民可支配收入：指居民可用于最终消费支出和储蓄的总和，即居民可以用来自由支配的收入，包括现金收入和实物收入。</t>
  </si>
  <si>
    <t>居民消费价格指数（简称CPI）：是度量一定时期内居民消费商品和服务价格水平变动的相对数，综合反映居民消费商品和服务价格水平的变动趋势和变动程度。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</si>
</sst>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0_ "/>
    <numFmt numFmtId="178" formatCode="0.0_);[Red]\(0.0\)"/>
    <numFmt numFmtId="179" formatCode="0.0"/>
    <numFmt numFmtId="180" formatCode="#,##0.0"/>
    <numFmt numFmtId="181" formatCode="0_ "/>
    <numFmt numFmtId="182" formatCode="0.00_ "/>
    <numFmt numFmtId="183" formatCode="0_);[Red]\(0\)"/>
    <numFmt numFmtId="184" formatCode="0.000"/>
    <numFmt numFmtId="185" formatCode="0.00_);[Red]\(0.00\)"/>
    <numFmt numFmtId="186" formatCode="0.0__"/>
    <numFmt numFmtId="187" formatCode="0;_砀"/>
    <numFmt numFmtId="188" formatCode="#,##0.0_ "/>
    <numFmt numFmtId="189" formatCode="#0"/>
    <numFmt numFmtId="190" formatCode="#0.0"/>
  </numFmts>
  <fonts count="52">
    <font>
      <sz val="12"/>
      <name val="宋体"/>
      <charset val="134"/>
    </font>
    <font>
      <sz val="13.5"/>
      <color indexed="10"/>
      <name val="黑体"/>
      <charset val="134"/>
    </font>
    <font>
      <sz val="13.5"/>
      <color theme="1" tint="0.15"/>
      <name val="黑体"/>
      <charset val="134"/>
    </font>
    <font>
      <sz val="11"/>
      <name val="宋体"/>
      <charset val="134"/>
    </font>
    <font>
      <sz val="11"/>
      <color indexed="8"/>
      <name val="宋体"/>
      <charset val="134"/>
    </font>
    <font>
      <sz val="12"/>
      <color indexed="10"/>
      <name val="宋体"/>
      <charset val="134"/>
    </font>
    <font>
      <b/>
      <sz val="10"/>
      <name val="宋体"/>
      <charset val="134"/>
    </font>
    <font>
      <b/>
      <sz val="10"/>
      <name val="黑体"/>
      <charset val="134"/>
    </font>
    <font>
      <sz val="10"/>
      <name val="宋体"/>
      <charset val="134"/>
    </font>
    <font>
      <b/>
      <sz val="10"/>
      <color rgb="FFFF0000"/>
      <name val="宋体"/>
      <charset val="134"/>
    </font>
    <font>
      <b/>
      <sz val="15"/>
      <color rgb="FFFF1B09"/>
      <name val="宋体"/>
      <charset val="134"/>
    </font>
    <font>
      <b/>
      <sz val="12"/>
      <name val="宋体"/>
      <charset val="134"/>
    </font>
    <font>
      <sz val="9"/>
      <name val="宋体"/>
      <charset val="134"/>
    </font>
    <font>
      <sz val="12"/>
      <color rgb="FF000000"/>
      <name val="宋体"/>
      <charset val="134"/>
    </font>
    <font>
      <b/>
      <sz val="15"/>
      <color rgb="FFFFFFFF"/>
      <name val="宋体"/>
      <charset val="134"/>
    </font>
    <font>
      <b/>
      <sz val="15"/>
      <color rgb="FFFF0000"/>
      <name val="宋体"/>
      <charset val="134"/>
    </font>
    <font>
      <sz val="10"/>
      <color rgb="FFFF0000"/>
      <name val="宋体"/>
      <charset val="134"/>
    </font>
    <font>
      <sz val="14"/>
      <name val="宋体"/>
      <charset val="134"/>
    </font>
    <font>
      <b/>
      <sz val="12"/>
      <color indexed="10"/>
      <name val="宋体"/>
      <charset val="134"/>
    </font>
    <font>
      <sz val="10"/>
      <color indexed="8"/>
      <name val="宋体"/>
      <charset val="134"/>
    </font>
    <font>
      <sz val="10"/>
      <color rgb="FF000000"/>
      <name val="宋体"/>
      <charset val="134"/>
    </font>
    <font>
      <sz val="12"/>
      <name val="仿宋_GB2312"/>
      <charset val="134"/>
    </font>
    <font>
      <b/>
      <sz val="12"/>
      <color indexed="44"/>
      <name val="宋体"/>
      <charset val="134"/>
    </font>
    <font>
      <b/>
      <sz val="28"/>
      <color rgb="FFFF0000"/>
      <name val="宋体"/>
      <charset val="134"/>
    </font>
    <font>
      <b/>
      <sz val="18"/>
      <name val="黑体"/>
      <charset val="134"/>
    </font>
    <font>
      <b/>
      <sz val="12"/>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rgb="FF000000"/>
      <name val="宋体"/>
      <charset val="134"/>
    </font>
    <font>
      <sz val="9"/>
      <color theme="1" tint="0.15"/>
      <name val="黑体"/>
      <charset val="134"/>
    </font>
    <font>
      <sz val="13.5"/>
      <color theme="1" tint="0.15"/>
      <name val="DejaVu Sans"/>
      <charset val="134"/>
    </font>
    <font>
      <sz val="6"/>
      <color rgb="FF000000"/>
      <name val="宋体"/>
      <charset val="134"/>
    </font>
    <font>
      <sz val="10"/>
      <color rgb="FF000000"/>
      <name val="DejaVu Sans"/>
      <charset val="134"/>
    </font>
  </fonts>
  <fills count="42">
    <fill>
      <patternFill patternType="none"/>
    </fill>
    <fill>
      <patternFill patternType="gray125"/>
    </fill>
    <fill>
      <patternFill patternType="solid">
        <fgColor rgb="FF61C4BE"/>
        <bgColor indexed="64"/>
      </patternFill>
    </fill>
    <fill>
      <patternFill patternType="solid">
        <fgColor rgb="FFE4E4E4"/>
        <bgColor indexed="64"/>
      </patternFill>
    </fill>
    <fill>
      <patternFill patternType="solid">
        <fgColor rgb="FFDBEEF3"/>
        <bgColor indexed="64"/>
      </patternFill>
    </fill>
    <fill>
      <patternFill patternType="solid">
        <fgColor rgb="FFFFFF00"/>
        <bgColor indexed="64"/>
      </patternFill>
    </fill>
    <fill>
      <patternFill patternType="solid">
        <fgColor indexed="9"/>
        <bgColor indexed="64"/>
      </patternFill>
    </fill>
    <fill>
      <patternFill patternType="solid">
        <fgColor rgb="FFFF0000"/>
        <bgColor indexed="64"/>
      </patternFill>
    </fill>
    <fill>
      <patternFill patternType="solid">
        <fgColor indexed="27"/>
        <bgColor indexed="64"/>
      </patternFill>
    </fill>
    <fill>
      <patternFill patternType="solid">
        <fgColor theme="4" tint="0.799981688894314"/>
        <bgColor indexed="64"/>
      </patternFill>
    </fill>
    <fill>
      <patternFill patternType="solid">
        <fgColor rgb="FFD8D8D8"/>
        <bgColor indexed="64"/>
      </patternFill>
    </fill>
    <fill>
      <patternFill patternType="solid">
        <fgColor rgb="FFF2F2F2"/>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right/>
      <top style="thin">
        <color rgb="FF61C4BE"/>
      </top>
      <bottom/>
      <diagonal/>
    </border>
    <border>
      <left style="thin">
        <color auto="1"/>
      </left>
      <right/>
      <top/>
      <bottom/>
      <diagonal/>
    </border>
    <border>
      <left/>
      <right/>
      <top style="medium">
        <color rgb="FFC00000"/>
      </top>
      <bottom style="medium">
        <color rgb="FFFF1B09"/>
      </bottom>
      <diagonal/>
    </border>
    <border>
      <left/>
      <right style="thin">
        <color rgb="FFFF1B09"/>
      </right>
      <top/>
      <bottom style="thin">
        <color rgb="FFFF1B09"/>
      </bottom>
      <diagonal/>
    </border>
    <border>
      <left style="thin">
        <color rgb="FFFF1B09"/>
      </left>
      <right style="thin">
        <color rgb="FFFF1B09"/>
      </right>
      <top/>
      <bottom style="thin">
        <color rgb="FFFF1B09"/>
      </bottom>
      <diagonal/>
    </border>
    <border>
      <left/>
      <right/>
      <top/>
      <bottom style="thin">
        <color rgb="FFFF1B09"/>
      </bottom>
      <diagonal/>
    </border>
    <border>
      <left/>
      <right style="thin">
        <color rgb="FFFF1B09"/>
      </right>
      <top/>
      <bottom/>
      <diagonal/>
    </border>
    <border>
      <left style="thin">
        <color rgb="FFFF1B09"/>
      </left>
      <right style="thin">
        <color rgb="FFFF1B09"/>
      </right>
      <top/>
      <bottom/>
      <diagonal/>
    </border>
    <border>
      <left style="thin">
        <color rgb="FFFF1B09"/>
      </left>
      <right/>
      <top/>
      <bottom/>
      <diagonal/>
    </border>
    <border>
      <left style="thin">
        <color rgb="FFFF1B09"/>
      </left>
      <right/>
      <top/>
      <bottom style="thin">
        <color rgb="FFFF1B09"/>
      </bottom>
      <diagonal/>
    </border>
    <border>
      <left/>
      <right style="thin">
        <color rgb="FFFF1B09"/>
      </right>
      <top style="medium">
        <color rgb="FFFF1B09"/>
      </top>
      <bottom style="thin">
        <color rgb="FFFF1B09"/>
      </bottom>
      <diagonal/>
    </border>
    <border>
      <left/>
      <right/>
      <top style="thin">
        <color rgb="FFFF1B09"/>
      </top>
      <bottom style="thin">
        <color rgb="FFFF1B09"/>
      </bottom>
      <diagonal/>
    </border>
    <border>
      <left/>
      <right style="thin">
        <color rgb="FFFF1B09"/>
      </right>
      <top/>
      <bottom style="medium">
        <color rgb="FFFF1B09"/>
      </bottom>
      <diagonal/>
    </border>
    <border>
      <left/>
      <right/>
      <top style="medium">
        <color rgb="FFFF1B09"/>
      </top>
      <bottom style="thin">
        <color rgb="FFFF1B09"/>
      </bottom>
      <diagonal/>
    </border>
    <border>
      <left/>
      <right style="thin">
        <color rgb="FFFF1B09"/>
      </right>
      <top style="thin">
        <color rgb="FFFF1B09"/>
      </top>
      <bottom style="thin">
        <color rgb="FFFF1B09"/>
      </bottom>
      <diagonal/>
    </border>
    <border>
      <left/>
      <right/>
      <top/>
      <bottom style="medium">
        <color rgb="FFFF1B09"/>
      </bottom>
      <diagonal/>
    </border>
    <border>
      <left/>
      <right/>
      <top style="medium">
        <color rgb="FFFF1B09"/>
      </top>
      <bottom/>
      <diagonal/>
    </border>
    <border>
      <left style="thin">
        <color rgb="FFFF1B09"/>
      </left>
      <right style="thin">
        <color rgb="FFFF1B09"/>
      </right>
      <top style="thin">
        <color rgb="FFFF1B09"/>
      </top>
      <bottom style="thin">
        <color rgb="FFFF1B09"/>
      </bottom>
      <diagonal/>
    </border>
    <border>
      <left style="thin">
        <color rgb="FFFF1B09"/>
      </left>
      <right style="thin">
        <color rgb="FFFF1B09"/>
      </right>
      <top/>
      <bottom style="medium">
        <color rgb="FFFF1B09"/>
      </bottom>
      <diagonal/>
    </border>
    <border>
      <left/>
      <right/>
      <top style="medium">
        <color rgb="FFFF1B09"/>
      </top>
      <bottom style="medium">
        <color rgb="FFFF1B09"/>
      </bottom>
      <diagonal/>
    </border>
    <border>
      <left/>
      <right style="thin">
        <color rgb="FFFF1B09"/>
      </right>
      <top style="thin">
        <color rgb="FFC00000"/>
      </top>
      <bottom/>
      <diagonal/>
    </border>
    <border>
      <left style="thin">
        <color rgb="FFFF1B09"/>
      </left>
      <right style="thin">
        <color rgb="FFFF1B09"/>
      </right>
      <top style="thin">
        <color rgb="FFC00000"/>
      </top>
      <bottom/>
      <diagonal/>
    </border>
    <border>
      <left/>
      <right/>
      <top style="thin">
        <color rgb="FFC00000"/>
      </top>
      <bottom/>
      <diagonal/>
    </border>
    <border>
      <left/>
      <right style="thin">
        <color rgb="FFFF1B09"/>
      </right>
      <top style="thin">
        <color rgb="FFFF1B09"/>
      </top>
      <bottom/>
      <diagonal/>
    </border>
    <border>
      <left/>
      <right/>
      <top style="medium">
        <color rgb="FFC00000"/>
      </top>
      <bottom style="medium">
        <color rgb="FFC00000"/>
      </bottom>
      <diagonal/>
    </border>
    <border>
      <left/>
      <right/>
      <top style="medium">
        <color rgb="FFC00000"/>
      </top>
      <bottom/>
      <diagonal/>
    </border>
    <border>
      <left style="thin">
        <color rgb="FFC00000"/>
      </left>
      <right style="thin">
        <color rgb="FFC00000"/>
      </right>
      <top style="thin">
        <color rgb="FFC00000"/>
      </top>
      <bottom/>
      <diagonal/>
    </border>
    <border>
      <left style="thin">
        <color rgb="FFC00000"/>
      </left>
      <right style="thin">
        <color rgb="FFC00000"/>
      </right>
      <top/>
      <bottom/>
      <diagonal/>
    </border>
    <border>
      <left/>
      <right style="thin">
        <color rgb="FFC00000"/>
      </right>
      <top/>
      <bottom/>
      <diagonal/>
    </border>
    <border>
      <left style="thin">
        <color rgb="FFC00000"/>
      </left>
      <right style="thin">
        <color rgb="FFC00000"/>
      </right>
      <top/>
      <bottom style="medium">
        <color rgb="FFC00000"/>
      </bottom>
      <diagonal/>
    </border>
    <border>
      <left style="thin">
        <color rgb="FFC00000"/>
      </left>
      <right/>
      <top/>
      <bottom/>
      <diagonal/>
    </border>
    <border>
      <left style="thin">
        <color rgb="FFC00000"/>
      </left>
      <right style="thin">
        <color rgb="FFC00000"/>
      </right>
      <top/>
      <bottom style="medium">
        <color rgb="FFFF1B09"/>
      </bottom>
      <diagonal/>
    </border>
    <border>
      <left/>
      <right style="thin">
        <color rgb="FFFF1B09"/>
      </right>
      <top/>
      <bottom style="thin">
        <color rgb="FFC00000"/>
      </bottom>
      <diagonal/>
    </border>
    <border>
      <left style="thin">
        <color rgb="FFFF1B09"/>
      </left>
      <right style="thin">
        <color rgb="FFFF1B09"/>
      </right>
      <top/>
      <bottom style="thin">
        <color rgb="FFC00000"/>
      </bottom>
      <diagonal/>
    </border>
    <border>
      <left/>
      <right style="thin">
        <color rgb="FFFF1B09"/>
      </right>
      <top/>
      <bottom style="medium">
        <color rgb="FFC00000"/>
      </bottom>
      <diagonal/>
    </border>
    <border>
      <left style="thin">
        <color rgb="FFFF1B09"/>
      </left>
      <right style="thin">
        <color rgb="FFFF1B09"/>
      </right>
      <top/>
      <bottom style="medium">
        <color rgb="FFC00000"/>
      </bottom>
      <diagonal/>
    </border>
    <border>
      <left/>
      <right/>
      <top/>
      <bottom style="medium">
        <color rgb="FFC00000"/>
      </bottom>
      <diagonal/>
    </border>
    <border>
      <left style="thin">
        <color rgb="FFFF1B09"/>
      </left>
      <right/>
      <top style="medium">
        <color rgb="FFFF1B09"/>
      </top>
      <bottom style="thin">
        <color rgb="FFFF1B09"/>
      </bottom>
      <diagonal/>
    </border>
    <border>
      <left style="thin">
        <color rgb="FFFF1B09"/>
      </left>
      <right/>
      <top style="thin">
        <color rgb="FFFF1B09"/>
      </top>
      <bottom/>
      <diagonal/>
    </border>
    <border>
      <left style="thin">
        <color rgb="FFFF1B09"/>
      </left>
      <right/>
      <top/>
      <bottom style="medium">
        <color rgb="FFFF1B09"/>
      </bottom>
      <diagonal/>
    </border>
    <border>
      <left style="thin">
        <color rgb="FFFF1B09"/>
      </left>
      <right style="thin">
        <color indexed="49"/>
      </right>
      <top/>
      <bottom style="thin">
        <color rgb="FFFF1B09"/>
      </bottom>
      <diagonal/>
    </border>
    <border>
      <left style="thin">
        <color indexed="49"/>
      </left>
      <right/>
      <top/>
      <bottom style="thin">
        <color rgb="FFFF1B09"/>
      </bottom>
      <diagonal/>
    </border>
    <border>
      <left style="thin">
        <color rgb="FFC00000"/>
      </left>
      <right style="thin">
        <color rgb="FFFF1B09"/>
      </right>
      <top style="medium">
        <color rgb="FFFF1B09"/>
      </top>
      <bottom/>
      <diagonal/>
    </border>
    <border>
      <left style="thin">
        <color rgb="FFC00000"/>
      </left>
      <right style="thin">
        <color rgb="FFFF1B09"/>
      </right>
      <top/>
      <bottom style="thin">
        <color rgb="FFFF1B09"/>
      </bottom>
      <diagonal/>
    </border>
    <border>
      <left/>
      <right/>
      <top/>
      <bottom style="thin">
        <color rgb="FFC00000"/>
      </bottom>
      <diagonal/>
    </border>
    <border>
      <left style="thin">
        <color rgb="FFFF1B09"/>
      </left>
      <right style="thin">
        <color rgb="FFFF1B09"/>
      </right>
      <top style="medium">
        <color rgb="FFFF1B09"/>
      </top>
      <bottom/>
      <diagonal/>
    </border>
    <border>
      <left style="thin">
        <color rgb="FFFF1B09"/>
      </left>
      <right/>
      <top style="medium">
        <color rgb="FFFF1B09"/>
      </top>
      <bottom/>
      <diagonal/>
    </border>
    <border>
      <left/>
      <right style="thin">
        <color rgb="FFFF1B09"/>
      </right>
      <top style="medium">
        <color rgb="FFFF1B09"/>
      </top>
      <bottom/>
      <diagonal/>
    </border>
    <border>
      <left style="thin">
        <color rgb="FFFF1B09"/>
      </left>
      <right/>
      <top style="thin">
        <color rgb="FFFF1B09"/>
      </top>
      <bottom style="thin">
        <color rgb="FFFF1B09"/>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alignment vertical="center"/>
    </xf>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13" borderId="5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3" applyNumberFormat="0" applyFill="0" applyAlignment="0" applyProtection="0">
      <alignment vertical="center"/>
    </xf>
    <xf numFmtId="0" fontId="33" fillId="0" borderId="53" applyNumberFormat="0" applyFill="0" applyAlignment="0" applyProtection="0">
      <alignment vertical="center"/>
    </xf>
    <xf numFmtId="0" fontId="34" fillId="0" borderId="54" applyNumberFormat="0" applyFill="0" applyAlignment="0" applyProtection="0">
      <alignment vertical="center"/>
    </xf>
    <xf numFmtId="0" fontId="34" fillId="0" borderId="0" applyNumberFormat="0" applyFill="0" applyBorder="0" applyAlignment="0" applyProtection="0">
      <alignment vertical="center"/>
    </xf>
    <xf numFmtId="0" fontId="35" fillId="14" borderId="55" applyNumberFormat="0" applyAlignment="0" applyProtection="0">
      <alignment vertical="center"/>
    </xf>
    <xf numFmtId="0" fontId="36" fillId="11" borderId="56" applyNumberFormat="0" applyAlignment="0" applyProtection="0">
      <alignment vertical="center"/>
    </xf>
    <xf numFmtId="0" fontId="37" fillId="11" borderId="55" applyNumberFormat="0" applyAlignment="0" applyProtection="0">
      <alignment vertical="center"/>
    </xf>
    <xf numFmtId="0" fontId="38" fillId="15" borderId="57" applyNumberFormat="0" applyAlignment="0" applyProtection="0">
      <alignment vertical="center"/>
    </xf>
    <xf numFmtId="0" fontId="39" fillId="0" borderId="58" applyNumberFormat="0" applyFill="0" applyAlignment="0" applyProtection="0">
      <alignment vertical="center"/>
    </xf>
    <xf numFmtId="0" fontId="40" fillId="0" borderId="59" applyNumberFormat="0" applyFill="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5" fillId="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alignment vertical="center"/>
    </xf>
    <xf numFmtId="0" fontId="0" fillId="0" borderId="0">
      <protection locked="0"/>
    </xf>
    <xf numFmtId="0" fontId="0" fillId="0" borderId="0">
      <protection locked="0"/>
    </xf>
    <xf numFmtId="0" fontId="46" fillId="0" borderId="0"/>
    <xf numFmtId="0" fontId="0" fillId="0" borderId="0">
      <protection locked="0"/>
    </xf>
    <xf numFmtId="0" fontId="0" fillId="0" borderId="0"/>
    <xf numFmtId="0" fontId="0" fillId="0" borderId="0">
      <protection locked="0"/>
    </xf>
    <xf numFmtId="0" fontId="4" fillId="0" borderId="0">
      <alignment vertical="center"/>
    </xf>
    <xf numFmtId="0" fontId="0" fillId="0" borderId="0">
      <alignment vertical="center"/>
    </xf>
    <xf numFmtId="0" fontId="47" fillId="0" borderId="0">
      <protection locked="0"/>
    </xf>
    <xf numFmtId="0" fontId="0" fillId="0" borderId="0">
      <protection locked="0"/>
    </xf>
    <xf numFmtId="0" fontId="0" fillId="0" borderId="0">
      <protection locked="0"/>
    </xf>
    <xf numFmtId="0" fontId="0" fillId="0" borderId="0">
      <protection locked="0"/>
    </xf>
    <xf numFmtId="176" fontId="46" fillId="0" borderId="0" applyFont="0" applyFill="0" applyBorder="0" applyAlignment="0" applyProtection="0"/>
    <xf numFmtId="0" fontId="0" fillId="0" borderId="0">
      <alignment vertical="center"/>
    </xf>
  </cellStyleXfs>
  <cellXfs count="368">
    <xf numFmtId="0" fontId="0" fillId="0" borderId="0" xfId="0">
      <alignment vertical="center"/>
    </xf>
    <xf numFmtId="0" fontId="0" fillId="0" borderId="0" xfId="0" applyFont="1" applyFill="1" applyAlignment="1"/>
    <xf numFmtId="0" fontId="0" fillId="0" borderId="0" xfId="0" applyFont="1" applyAlignment="1"/>
    <xf numFmtId="0" fontId="0" fillId="0" borderId="0" xfId="0" applyFont="1" applyFill="1" applyAlignment="1">
      <alignment horizontal="center" vertical="center"/>
    </xf>
    <xf numFmtId="57" fontId="0" fillId="0" borderId="0" xfId="0" applyNumberFormat="1" applyFont="1" applyAlignment="1"/>
    <xf numFmtId="177" fontId="0" fillId="0" borderId="0" xfId="0" applyNumberFormat="1" applyFont="1" applyFill="1" applyAlignment="1"/>
    <xf numFmtId="0" fontId="0" fillId="0" borderId="0" xfId="0" applyFont="1" applyAlignment="1">
      <alignment horizontal="center"/>
    </xf>
    <xf numFmtId="177" fontId="0" fillId="0" borderId="0" xfId="0" applyNumberFormat="1" applyFont="1" applyAlignment="1"/>
    <xf numFmtId="57" fontId="0" fillId="0" borderId="0" xfId="0" applyNumberFormat="1" applyFont="1" applyAlignment="1">
      <alignment horizontal="justify"/>
    </xf>
    <xf numFmtId="177" fontId="0" fillId="0" borderId="0" xfId="0" applyNumberFormat="1">
      <alignment vertical="center"/>
    </xf>
    <xf numFmtId="0" fontId="1" fillId="2" borderId="1" xfId="0" applyFont="1" applyFill="1" applyBorder="1" applyAlignment="1" applyProtection="1">
      <alignment horizontal="center"/>
      <protection locked="0"/>
    </xf>
    <xf numFmtId="0" fontId="2" fillId="3" borderId="1" xfId="0" applyFont="1" applyFill="1" applyBorder="1" applyAlignment="1" applyProtection="1">
      <alignment horizontal="left" vertical="center"/>
      <protection locked="0"/>
    </xf>
    <xf numFmtId="0" fontId="1" fillId="2" borderId="0" xfId="0" applyFont="1" applyFill="1" applyBorder="1" applyAlignment="1" applyProtection="1">
      <alignment horizontal="center"/>
      <protection locked="0"/>
    </xf>
    <xf numFmtId="0" fontId="2" fillId="3" borderId="0" xfId="0" applyFont="1" applyFill="1" applyBorder="1" applyAlignment="1" applyProtection="1">
      <alignment horizontal="left" vertical="center"/>
      <protection locked="0"/>
    </xf>
    <xf numFmtId="178" fontId="0" fillId="0" borderId="0" xfId="0" applyNumberFormat="1" applyFont="1" applyAlignment="1"/>
    <xf numFmtId="0" fontId="3" fillId="0" borderId="0" xfId="0" applyFont="1" applyFill="1" applyAlignment="1">
      <alignment horizontal="left"/>
    </xf>
    <xf numFmtId="0" fontId="0" fillId="4" borderId="0" xfId="0" applyFont="1" applyFill="1" applyAlignment="1"/>
    <xf numFmtId="0" fontId="0" fillId="0" borderId="0" xfId="0" applyNumberFormat="1">
      <alignment vertical="center"/>
    </xf>
    <xf numFmtId="177" fontId="0" fillId="0" borderId="0" xfId="0" applyNumberFormat="1" applyFont="1">
      <alignment vertical="center"/>
    </xf>
    <xf numFmtId="177" fontId="0" fillId="0" borderId="0" xfId="0" applyNumberFormat="1" applyFont="1" applyAlignment="1">
      <alignment vertical="center" wrapText="1"/>
    </xf>
    <xf numFmtId="0" fontId="0" fillId="0" borderId="0" xfId="0" applyNumberFormat="1" applyFont="1" applyAlignment="1"/>
    <xf numFmtId="179" fontId="0" fillId="0" borderId="0" xfId="0" applyNumberFormat="1" applyFont="1" applyAlignment="1"/>
    <xf numFmtId="0" fontId="0" fillId="5" borderId="0" xfId="0" applyFont="1" applyFill="1" applyAlignment="1"/>
    <xf numFmtId="0" fontId="0" fillId="6" borderId="0" xfId="0" applyFont="1" applyFill="1" applyAlignment="1"/>
    <xf numFmtId="0" fontId="0" fillId="5" borderId="0" xfId="0" applyFill="1">
      <alignment vertical="center"/>
    </xf>
    <xf numFmtId="180" fontId="0" fillId="0" borderId="0" xfId="0" applyNumberFormat="1" applyFont="1" applyAlignment="1"/>
    <xf numFmtId="181" fontId="0" fillId="0" borderId="0" xfId="0" applyNumberFormat="1" applyFont="1" applyAlignment="1"/>
    <xf numFmtId="182" fontId="0" fillId="0" borderId="0" xfId="0" applyNumberFormat="1">
      <alignment vertical="center"/>
    </xf>
    <xf numFmtId="0" fontId="0" fillId="0" borderId="0" xfId="0" applyFont="1" applyAlignment="1">
      <alignment horizontal="left"/>
    </xf>
    <xf numFmtId="1" fontId="0" fillId="0" borderId="0" xfId="0" applyNumberFormat="1" applyFont="1" applyAlignment="1"/>
    <xf numFmtId="178" fontId="0" fillId="0" borderId="0" xfId="0" applyNumberFormat="1" applyFont="1" applyAlignment="1">
      <alignment horizontal="center"/>
    </xf>
    <xf numFmtId="177" fontId="0" fillId="0" borderId="0" xfId="0" applyNumberFormat="1" applyFont="1" applyAlignment="1">
      <alignment horizontal="center"/>
    </xf>
    <xf numFmtId="177" fontId="0" fillId="0" borderId="0" xfId="58" applyNumberFormat="1" applyAlignment="1" applyProtection="1"/>
    <xf numFmtId="177" fontId="0" fillId="5" borderId="0" xfId="0" applyNumberFormat="1" applyFont="1" applyFill="1" applyAlignment="1"/>
    <xf numFmtId="178" fontId="0" fillId="0" borderId="0" xfId="50" applyNumberFormat="1" applyAlignment="1" applyProtection="1">
      <alignment horizontal="center"/>
    </xf>
    <xf numFmtId="178" fontId="0" fillId="0" borderId="0" xfId="0" applyNumberFormat="1" applyFont="1" applyAlignment="1">
      <alignment horizontal="right"/>
    </xf>
    <xf numFmtId="178" fontId="0" fillId="0" borderId="0" xfId="49" applyNumberFormat="1" applyAlignment="1" applyProtection="1"/>
    <xf numFmtId="178" fontId="0" fillId="0" borderId="0" xfId="52" applyNumberFormat="1" applyAlignment="1" applyProtection="1">
      <alignment horizontal="center"/>
    </xf>
    <xf numFmtId="178" fontId="0" fillId="0" borderId="0" xfId="52" applyNumberFormat="1" applyAlignment="1" applyProtection="1"/>
    <xf numFmtId="178" fontId="0" fillId="0" borderId="0" xfId="52" applyNumberFormat="1" applyFill="1" applyAlignment="1" applyProtection="1">
      <alignment horizontal="center"/>
    </xf>
    <xf numFmtId="178" fontId="0" fillId="0" borderId="0" xfId="52" applyNumberFormat="1" applyFont="1" applyAlignment="1" applyProtection="1"/>
    <xf numFmtId="178" fontId="0" fillId="0" borderId="0" xfId="50" applyNumberFormat="1" applyAlignment="1" applyProtection="1"/>
    <xf numFmtId="178" fontId="0" fillId="0" borderId="0" xfId="50" applyNumberFormat="1" applyFont="1" applyAlignment="1" applyProtection="1"/>
    <xf numFmtId="178" fontId="4" fillId="0" borderId="2" xfId="50" applyNumberFormat="1" applyFont="1" applyFill="1" applyBorder="1" applyAlignment="1" applyProtection="1">
      <alignment vertical="center"/>
    </xf>
    <xf numFmtId="178" fontId="4" fillId="0" borderId="0" xfId="50" applyNumberFormat="1" applyFont="1" applyFill="1" applyBorder="1" applyAlignment="1" applyProtection="1">
      <alignment vertical="center"/>
    </xf>
    <xf numFmtId="177" fontId="5" fillId="0" borderId="0" xfId="0" applyNumberFormat="1" applyFont="1" applyFill="1" applyAlignment="1"/>
    <xf numFmtId="181" fontId="5" fillId="0" borderId="0" xfId="0" applyNumberFormat="1" applyFont="1" applyFill="1" applyAlignment="1"/>
    <xf numFmtId="183" fontId="5" fillId="0" borderId="0" xfId="0" applyNumberFormat="1" applyFont="1" applyFill="1" applyAlignment="1"/>
    <xf numFmtId="0" fontId="5" fillId="0" borderId="0" xfId="0" applyFont="1" applyFill="1" applyAlignment="1"/>
    <xf numFmtId="183" fontId="0" fillId="0" borderId="0" xfId="0" applyNumberFormat="1" applyFont="1" applyAlignment="1"/>
    <xf numFmtId="0" fontId="0" fillId="5" borderId="0" xfId="0" applyFill="1" applyAlignment="1">
      <alignment horizontal="center" vertical="center"/>
    </xf>
    <xf numFmtId="0" fontId="0" fillId="0" borderId="0" xfId="0" applyFill="1">
      <alignment vertical="center"/>
    </xf>
    <xf numFmtId="0" fontId="0" fillId="7" borderId="0" xfId="0" applyFill="1" applyAlignment="1">
      <alignment horizontal="center" vertical="center"/>
    </xf>
    <xf numFmtId="0" fontId="3" fillId="0" borderId="0" xfId="0" applyFont="1" applyAlignment="1"/>
    <xf numFmtId="0" fontId="0" fillId="0" borderId="0" xfId="0" applyFont="1" applyBorder="1" applyAlignment="1">
      <alignment horizontal="right"/>
    </xf>
    <xf numFmtId="177" fontId="0" fillId="0" borderId="0" xfId="0" applyNumberFormat="1" applyFont="1" applyBorder="1" applyAlignment="1">
      <alignment horizontal="right"/>
    </xf>
    <xf numFmtId="0" fontId="0" fillId="0" borderId="0" xfId="0" applyFont="1" applyFill="1" applyBorder="1" applyAlignment="1">
      <alignment horizontal="right"/>
    </xf>
    <xf numFmtId="0" fontId="0" fillId="0" borderId="0" xfId="0" applyFont="1" applyBorder="1" applyAlignment="1"/>
    <xf numFmtId="0" fontId="0" fillId="0" borderId="0" xfId="0" applyFont="1" applyFill="1" applyBorder="1" applyAlignment="1"/>
    <xf numFmtId="181" fontId="0" fillId="0" borderId="0" xfId="0" applyNumberFormat="1">
      <alignment vertical="center"/>
    </xf>
    <xf numFmtId="0" fontId="0" fillId="8" borderId="0" xfId="0" applyFont="1" applyFill="1" applyAlignment="1"/>
    <xf numFmtId="177" fontId="0" fillId="6" borderId="0" xfId="0" applyNumberFormat="1" applyFont="1" applyFill="1" applyAlignment="1"/>
    <xf numFmtId="181" fontId="0" fillId="6" borderId="0" xfId="0" applyNumberFormat="1" applyFont="1" applyFill="1" applyAlignment="1"/>
    <xf numFmtId="0" fontId="1" fillId="2" borderId="1" xfId="0" applyFont="1" applyFill="1" applyBorder="1" applyAlignment="1">
      <alignment horizontal="center"/>
    </xf>
    <xf numFmtId="0" fontId="2" fillId="3" borderId="1" xfId="0" applyFont="1" applyFill="1" applyBorder="1" applyAlignment="1">
      <alignment horizontal="left" vertical="center"/>
    </xf>
    <xf numFmtId="0" fontId="1" fillId="2" borderId="0" xfId="0" applyFont="1" applyFill="1" applyBorder="1" applyAlignment="1">
      <alignment horizontal="center"/>
    </xf>
    <xf numFmtId="0" fontId="2" fillId="3" borderId="0" xfId="0" applyFont="1" applyFill="1" applyBorder="1" applyAlignment="1">
      <alignment horizontal="left" vertical="center"/>
    </xf>
    <xf numFmtId="0" fontId="0" fillId="9" borderId="0" xfId="0" applyFont="1" applyFill="1" applyAlignment="1"/>
    <xf numFmtId="0" fontId="6" fillId="0" borderId="0" xfId="0" applyFont="1" applyFill="1">
      <alignment vertical="center"/>
    </xf>
    <xf numFmtId="0" fontId="7" fillId="0" borderId="0" xfId="0" applyFont="1" applyFill="1" applyAlignment="1">
      <alignment vertical="center" wrapText="1"/>
    </xf>
    <xf numFmtId="0" fontId="7" fillId="0" borderId="0" xfId="0" applyFont="1" applyFill="1">
      <alignment vertical="center"/>
    </xf>
    <xf numFmtId="0" fontId="8" fillId="0" borderId="0" xfId="0" applyFont="1" applyFill="1">
      <alignment vertical="center"/>
    </xf>
    <xf numFmtId="0" fontId="8" fillId="0" borderId="0" xfId="0" applyFont="1" applyFill="1" applyAlignment="1"/>
    <xf numFmtId="0" fontId="6" fillId="0" borderId="0" xfId="0" applyFont="1" applyFill="1" applyAlignment="1"/>
    <xf numFmtId="0" fontId="6" fillId="0" borderId="0" xfId="0" applyFont="1" applyFill="1" applyAlignment="1">
      <alignment horizontal="center"/>
    </xf>
    <xf numFmtId="0" fontId="6" fillId="0" borderId="0" xfId="0" applyFont="1" applyFill="1" applyBorder="1" applyAlignment="1">
      <alignment horizontal="center"/>
    </xf>
    <xf numFmtId="0" fontId="9" fillId="0" borderId="0" xfId="0" applyFont="1" applyFill="1" applyAlignment="1"/>
    <xf numFmtId="0" fontId="6" fillId="0" borderId="0" xfId="0" applyFont="1" applyFill="1" applyBorder="1" applyAlignment="1"/>
    <xf numFmtId="0" fontId="8" fillId="0" borderId="0" xfId="0" applyFont="1" applyFill="1" applyBorder="1">
      <alignment vertical="center"/>
    </xf>
    <xf numFmtId="0" fontId="10" fillId="3" borderId="3" xfId="0" applyFont="1" applyFill="1" applyBorder="1" applyAlignment="1">
      <alignment horizontal="center" vertical="center"/>
    </xf>
    <xf numFmtId="0" fontId="7" fillId="0" borderId="0" xfId="0" applyFont="1" applyFill="1" applyBorder="1" applyAlignment="1">
      <alignment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7" fillId="0" borderId="0" xfId="0" applyFont="1" applyFill="1" applyBorder="1">
      <alignment vertical="center"/>
    </xf>
    <xf numFmtId="0" fontId="8" fillId="0" borderId="7" xfId="0" applyFont="1" applyFill="1" applyBorder="1" applyAlignment="1">
      <alignment horizontal="left" vertical="center"/>
    </xf>
    <xf numFmtId="181" fontId="8" fillId="0" borderId="7" xfId="0" applyNumberFormat="1" applyFont="1" applyFill="1" applyBorder="1" applyAlignment="1">
      <alignment horizontal="center" vertical="center"/>
    </xf>
    <xf numFmtId="177" fontId="8" fillId="0" borderId="0" xfId="0" applyNumberFormat="1" applyFont="1" applyFill="1" applyBorder="1" applyAlignment="1">
      <alignment horizontal="center" vertical="center"/>
    </xf>
    <xf numFmtId="0" fontId="8" fillId="0" borderId="7" xfId="0" applyFont="1" applyFill="1" applyBorder="1" applyAlignment="1"/>
    <xf numFmtId="181" fontId="8" fillId="0" borderId="8" xfId="0" applyNumberFormat="1" applyFont="1" applyFill="1" applyBorder="1" applyAlignment="1">
      <alignment horizontal="center" vertical="center"/>
    </xf>
    <xf numFmtId="177" fontId="8" fillId="0" borderId="9" xfId="0" applyNumberFormat="1" applyFont="1" applyFill="1" applyBorder="1" applyAlignment="1">
      <alignment horizontal="center" vertical="center"/>
    </xf>
    <xf numFmtId="0" fontId="6" fillId="0" borderId="0" xfId="0" applyFont="1" applyFill="1" applyBorder="1">
      <alignment vertical="center"/>
    </xf>
    <xf numFmtId="177" fontId="8" fillId="0" borderId="8" xfId="0" applyNumberFormat="1" applyFont="1" applyFill="1" applyBorder="1" applyAlignment="1">
      <alignment horizontal="center" vertical="center"/>
    </xf>
    <xf numFmtId="180" fontId="8" fillId="0" borderId="9" xfId="0" applyNumberFormat="1" applyFont="1" applyFill="1" applyBorder="1" applyAlignment="1">
      <alignment horizontal="center" vertical="center"/>
    </xf>
    <xf numFmtId="0" fontId="8" fillId="0" borderId="4" xfId="0" applyFont="1" applyFill="1" applyBorder="1" applyAlignment="1"/>
    <xf numFmtId="182" fontId="8" fillId="0" borderId="6" xfId="0" applyNumberFormat="1" applyFont="1" applyFill="1" applyBorder="1" applyAlignment="1">
      <alignment horizontal="center" vertical="center"/>
    </xf>
    <xf numFmtId="177" fontId="8" fillId="0" borderId="10" xfId="0" applyNumberFormat="1" applyFont="1" applyFill="1" applyBorder="1" applyAlignment="1">
      <alignment horizontal="left" vertical="center"/>
    </xf>
    <xf numFmtId="0" fontId="8" fillId="0" borderId="4" xfId="0" applyFont="1" applyFill="1" applyBorder="1" applyAlignment="1">
      <alignment horizontal="left" vertical="center"/>
    </xf>
    <xf numFmtId="181" fontId="8" fillId="0" borderId="4" xfId="0" applyNumberFormat="1" applyFont="1" applyFill="1" applyBorder="1" applyAlignment="1">
      <alignment horizontal="center" vertical="center"/>
    </xf>
    <xf numFmtId="177" fontId="8" fillId="0" borderId="4" xfId="0" applyNumberFormat="1" applyFont="1" applyFill="1" applyBorder="1" applyAlignment="1">
      <alignment horizontal="center" vertical="center"/>
    </xf>
    <xf numFmtId="0" fontId="8" fillId="0" borderId="7" xfId="0" applyFont="1" applyFill="1" applyBorder="1">
      <alignment vertical="center"/>
    </xf>
    <xf numFmtId="177" fontId="8" fillId="0" borderId="7" xfId="0" applyNumberFormat="1" applyFont="1" applyFill="1" applyBorder="1" applyAlignment="1">
      <alignment horizontal="left" vertical="center"/>
    </xf>
    <xf numFmtId="177" fontId="8" fillId="0" borderId="7" xfId="0" applyNumberFormat="1" applyFont="1" applyFill="1" applyBorder="1" applyAlignment="1">
      <alignment horizontal="center" vertical="center"/>
    </xf>
    <xf numFmtId="181" fontId="8" fillId="0" borderId="5" xfId="0" applyNumberFormat="1" applyFont="1" applyFill="1" applyBorder="1" applyAlignment="1">
      <alignment horizontal="center" vertical="center"/>
    </xf>
    <xf numFmtId="177" fontId="8" fillId="0" borderId="5" xfId="0" applyNumberFormat="1" applyFont="1" applyFill="1" applyBorder="1" applyAlignment="1">
      <alignment horizontal="center" vertical="center"/>
    </xf>
    <xf numFmtId="0" fontId="8" fillId="0" borderId="0" xfId="0" applyFont="1" applyFill="1" applyBorder="1" applyAlignment="1">
      <alignment horizontal="left" vertical="top" wrapText="1"/>
    </xf>
    <xf numFmtId="0" fontId="10" fillId="0" borderId="0" xfId="0" applyFont="1" applyFill="1" applyBorder="1" applyAlignment="1">
      <alignment vertical="center"/>
    </xf>
    <xf numFmtId="0" fontId="11"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178" fontId="8" fillId="0" borderId="0" xfId="0" applyNumberFormat="1" applyFont="1" applyFill="1" applyBorder="1" applyAlignment="1">
      <alignment horizontal="center" vertical="center"/>
    </xf>
    <xf numFmtId="0" fontId="8" fillId="0" borderId="7" xfId="0" applyNumberFormat="1" applyFont="1" applyFill="1" applyBorder="1" applyAlignment="1">
      <alignment horizontal="left" vertical="center" wrapText="1"/>
    </xf>
    <xf numFmtId="181" fontId="8" fillId="0" borderId="7" xfId="0" applyNumberFormat="1" applyFont="1" applyFill="1" applyBorder="1" applyAlignment="1">
      <alignment horizontal="center" vertical="center" wrapText="1"/>
    </xf>
    <xf numFmtId="177" fontId="8" fillId="0" borderId="7" xfId="0" applyNumberFormat="1" applyFont="1" applyFill="1" applyBorder="1" applyAlignment="1">
      <alignment horizontal="left" vertical="center" wrapText="1"/>
    </xf>
    <xf numFmtId="0" fontId="8" fillId="0" borderId="4" xfId="0" applyNumberFormat="1" applyFont="1" applyFill="1" applyBorder="1" applyAlignment="1">
      <alignment horizontal="left" vertical="center"/>
    </xf>
    <xf numFmtId="0" fontId="8" fillId="0" borderId="7" xfId="0" applyNumberFormat="1" applyFont="1" applyFill="1" applyBorder="1">
      <alignment vertical="center"/>
    </xf>
    <xf numFmtId="0" fontId="8" fillId="0" borderId="7" xfId="0" applyNumberFormat="1" applyFont="1" applyFill="1" applyBorder="1" applyAlignment="1">
      <alignment horizontal="left" vertical="center"/>
    </xf>
    <xf numFmtId="0" fontId="8" fillId="0" borderId="10" xfId="0" applyFont="1" applyFill="1" applyBorder="1" applyAlignment="1">
      <alignment horizontal="center" vertical="center" wrapText="1"/>
    </xf>
    <xf numFmtId="177" fontId="8" fillId="0" borderId="12" xfId="0" applyNumberFormat="1" applyFont="1" applyFill="1" applyBorder="1" applyAlignment="1">
      <alignment horizontal="center" vertical="center"/>
    </xf>
    <xf numFmtId="177" fontId="8" fillId="0" borderId="6" xfId="0" applyNumberFormat="1" applyFont="1" applyFill="1" applyBorder="1" applyAlignment="1">
      <alignment horizontal="center" vertical="center"/>
    </xf>
    <xf numFmtId="177" fontId="8" fillId="0" borderId="13" xfId="0" applyNumberFormat="1" applyFont="1" applyFill="1" applyBorder="1" applyAlignment="1">
      <alignment horizontal="left" vertical="center"/>
    </xf>
    <xf numFmtId="181" fontId="8" fillId="0" borderId="13" xfId="0" applyNumberFormat="1" applyFont="1" applyFill="1" applyBorder="1" applyAlignment="1">
      <alignment horizontal="center" vertical="center"/>
    </xf>
    <xf numFmtId="177" fontId="6" fillId="0" borderId="0" xfId="0" applyNumberFormat="1" applyFont="1" applyFill="1" applyBorder="1" applyAlignment="1">
      <alignment horizontal="center"/>
    </xf>
    <xf numFmtId="178" fontId="6" fillId="0" borderId="0" xfId="0" applyNumberFormat="1" applyFont="1" applyFill="1" applyBorder="1" applyAlignment="1">
      <alignment horizontal="center"/>
    </xf>
    <xf numFmtId="0" fontId="8" fillId="0" borderId="14" xfId="0" applyFont="1" applyFill="1" applyBorder="1" applyAlignment="1">
      <alignment horizontal="center" vertical="center" wrapText="1"/>
    </xf>
    <xf numFmtId="177" fontId="8" fillId="0" borderId="7" xfId="0" applyNumberFormat="1" applyFont="1" applyFill="1" applyBorder="1" applyAlignment="1">
      <alignment horizontal="center" vertical="center" wrapText="1"/>
    </xf>
    <xf numFmtId="177" fontId="8" fillId="0" borderId="0" xfId="0" applyNumberFormat="1" applyFont="1" applyFill="1" applyBorder="1" applyAlignment="1">
      <alignment horizontal="center" vertical="center" wrapText="1"/>
    </xf>
    <xf numFmtId="0" fontId="8" fillId="0" borderId="15" xfId="0" applyFont="1" applyFill="1" applyBorder="1">
      <alignment vertical="center"/>
    </xf>
    <xf numFmtId="0" fontId="8" fillId="0" borderId="0" xfId="0" applyFont="1" applyFill="1" applyAlignment="1">
      <alignment horizontal="center" vertical="center"/>
    </xf>
    <xf numFmtId="0" fontId="8" fillId="0" borderId="4" xfId="0" applyFont="1" applyFill="1" applyBorder="1">
      <alignment vertical="center"/>
    </xf>
    <xf numFmtId="49" fontId="8" fillId="0" borderId="7" xfId="0" applyNumberFormat="1" applyFont="1" applyFill="1" applyBorder="1" applyAlignment="1">
      <alignment horizontal="left" vertical="center"/>
    </xf>
    <xf numFmtId="0" fontId="8" fillId="0" borderId="0" xfId="0" applyFont="1" applyFill="1" applyAlignment="1">
      <alignment horizontal="center"/>
    </xf>
    <xf numFmtId="177" fontId="8" fillId="0" borderId="13" xfId="0" applyNumberFormat="1" applyFont="1" applyFill="1" applyBorder="1" applyAlignment="1">
      <alignment horizontal="center" vertical="center"/>
    </xf>
    <xf numFmtId="177" fontId="8" fillId="0" borderId="16" xfId="0" applyNumberFormat="1" applyFont="1" applyFill="1" applyBorder="1" applyAlignment="1">
      <alignment horizontal="center" vertical="center"/>
    </xf>
    <xf numFmtId="49" fontId="8" fillId="0" borderId="0" xfId="0" applyNumberFormat="1" applyFont="1" applyFill="1">
      <alignment vertical="center"/>
    </xf>
    <xf numFmtId="0" fontId="8" fillId="0" borderId="0" xfId="0" applyFont="1" applyFill="1" applyBorder="1" applyAlignment="1">
      <alignment horizontal="left" vertical="center" wrapText="1"/>
    </xf>
    <xf numFmtId="49" fontId="8" fillId="0" borderId="0" xfId="0" applyNumberFormat="1" applyFont="1" applyFill="1" applyAlignment="1">
      <alignment horizontal="left" vertical="center"/>
    </xf>
    <xf numFmtId="0" fontId="6" fillId="0" borderId="0" xfId="0" applyFont="1" applyFill="1" applyBorder="1" applyAlignment="1">
      <alignment horizontal="center" vertical="center"/>
    </xf>
    <xf numFmtId="49" fontId="8" fillId="0" borderId="13" xfId="0" applyNumberFormat="1" applyFont="1" applyFill="1" applyBorder="1" applyAlignment="1">
      <alignment horizontal="left" vertical="center"/>
    </xf>
    <xf numFmtId="0" fontId="8" fillId="0" borderId="17" xfId="0" applyFont="1" applyFill="1" applyBorder="1" applyAlignment="1">
      <alignment horizontal="left" vertical="top" wrapText="1"/>
    </xf>
    <xf numFmtId="0" fontId="12" fillId="0" borderId="0" xfId="0" applyFont="1" applyBorder="1" applyAlignment="1">
      <alignment horizontal="left" vertical="center" wrapText="1"/>
    </xf>
    <xf numFmtId="0" fontId="11" fillId="0" borderId="0" xfId="0" applyFont="1" applyFill="1" applyAlignment="1">
      <alignment horizontal="center" vertical="center"/>
    </xf>
    <xf numFmtId="181" fontId="8" fillId="0" borderId="18" xfId="0" applyNumberFormat="1" applyFont="1" applyFill="1" applyBorder="1" applyAlignment="1">
      <alignment horizontal="center" vertical="center"/>
    </xf>
    <xf numFmtId="177" fontId="8" fillId="0" borderId="18" xfId="0" applyNumberFormat="1" applyFont="1" applyFill="1" applyBorder="1" applyAlignment="1">
      <alignment horizontal="center" vertical="center"/>
    </xf>
    <xf numFmtId="177" fontId="8" fillId="0" borderId="0" xfId="54" applyNumberFormat="1" applyFont="1" applyFill="1" applyBorder="1" applyAlignment="1" applyProtection="1">
      <alignment horizontal="center" vertical="center"/>
    </xf>
    <xf numFmtId="177" fontId="8" fillId="0" borderId="6" xfId="54" applyNumberFormat="1" applyFont="1" applyFill="1" applyBorder="1" applyAlignment="1" applyProtection="1">
      <alignment horizontal="center" vertical="center"/>
    </xf>
    <xf numFmtId="181" fontId="8" fillId="0" borderId="19" xfId="0" applyNumberFormat="1" applyFont="1" applyFill="1" applyBorder="1" applyAlignment="1">
      <alignment horizontal="center" vertical="center"/>
    </xf>
    <xf numFmtId="177" fontId="8" fillId="0" borderId="19" xfId="0" applyNumberFormat="1" applyFont="1" applyFill="1" applyBorder="1" applyAlignment="1">
      <alignment horizontal="center" vertical="center"/>
    </xf>
    <xf numFmtId="177" fontId="8" fillId="0" borderId="0" xfId="0" applyNumberFormat="1" applyFont="1" applyFill="1" applyBorder="1">
      <alignment vertical="center"/>
    </xf>
    <xf numFmtId="1" fontId="12" fillId="0" borderId="0" xfId="0" applyNumberFormat="1" applyFont="1" applyAlignment="1">
      <alignment horizontal="right" vertical="center" wrapText="1"/>
    </xf>
    <xf numFmtId="184" fontId="12" fillId="0" borderId="0" xfId="0" applyNumberFormat="1" applyFont="1" applyAlignment="1">
      <alignment horizontal="right" vertical="center" wrapText="1"/>
    </xf>
    <xf numFmtId="0" fontId="10" fillId="0" borderId="0" xfId="0" applyFont="1" applyFill="1" applyBorder="1" applyAlignment="1">
      <alignment horizontal="center" vertical="center"/>
    </xf>
    <xf numFmtId="0" fontId="8" fillId="0" borderId="0" xfId="0" applyFont="1" applyFill="1" applyBorder="1" applyAlignment="1">
      <alignment horizontal="center" vertical="center"/>
    </xf>
    <xf numFmtId="183" fontId="8" fillId="0" borderId="8" xfId="0" applyNumberFormat="1" applyFont="1" applyFill="1" applyBorder="1" applyAlignment="1">
      <alignment horizontal="center" vertical="center"/>
    </xf>
    <xf numFmtId="183" fontId="8" fillId="0" borderId="5" xfId="0" applyNumberFormat="1" applyFont="1" applyFill="1" applyBorder="1" applyAlignment="1">
      <alignment horizontal="center" vertical="center"/>
    </xf>
    <xf numFmtId="0" fontId="8" fillId="0" borderId="13" xfId="0" applyFont="1" applyFill="1" applyBorder="1" applyAlignment="1">
      <alignment horizontal="left"/>
    </xf>
    <xf numFmtId="0" fontId="10" fillId="0" borderId="0" xfId="0" applyFont="1" applyFill="1" applyBorder="1">
      <alignment vertical="center"/>
    </xf>
    <xf numFmtId="0" fontId="8" fillId="0" borderId="7" xfId="0" applyFont="1" applyFill="1" applyBorder="1" applyAlignment="1">
      <alignment vertical="center" wrapText="1"/>
    </xf>
    <xf numFmtId="0" fontId="8" fillId="0" borderId="4" xfId="0" applyFont="1" applyFill="1" applyBorder="1" applyAlignment="1">
      <alignment vertical="center" wrapText="1"/>
    </xf>
    <xf numFmtId="0" fontId="8" fillId="0" borderId="13" xfId="0" applyFont="1" applyFill="1" applyBorder="1">
      <alignment vertical="center"/>
    </xf>
    <xf numFmtId="0" fontId="6" fillId="0" borderId="16" xfId="0" applyFont="1" applyFill="1" applyBorder="1">
      <alignment vertical="center"/>
    </xf>
    <xf numFmtId="0" fontId="10" fillId="3" borderId="20" xfId="0" applyFont="1" applyFill="1" applyBorder="1" applyAlignment="1">
      <alignment horizontal="center" vertical="center"/>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0" xfId="0" applyFont="1" applyFill="1" applyBorder="1" applyAlignment="1">
      <alignment vertical="center" wrapText="1"/>
    </xf>
    <xf numFmtId="0" fontId="8" fillId="0" borderId="21" xfId="0" applyFont="1" applyFill="1" applyBorder="1">
      <alignment vertical="center"/>
    </xf>
    <xf numFmtId="178" fontId="8" fillId="0" borderId="22" xfId="0" applyNumberFormat="1" applyFont="1" applyFill="1" applyBorder="1" applyAlignment="1">
      <alignment horizontal="center" vertical="center"/>
    </xf>
    <xf numFmtId="181" fontId="8" fillId="0" borderId="22" xfId="0" applyNumberFormat="1" applyFont="1" applyFill="1" applyBorder="1" applyAlignment="1">
      <alignment horizontal="center" vertical="center"/>
    </xf>
    <xf numFmtId="177" fontId="8" fillId="0" borderId="23" xfId="0" applyNumberFormat="1" applyFont="1" applyFill="1" applyBorder="1" applyAlignment="1">
      <alignment horizontal="center" vertical="center"/>
    </xf>
    <xf numFmtId="178" fontId="8" fillId="0" borderId="8" xfId="0" applyNumberFormat="1" applyFont="1" applyFill="1" applyBorder="1" applyAlignment="1">
      <alignment horizontal="center" vertical="center"/>
    </xf>
    <xf numFmtId="178" fontId="8" fillId="0" borderId="5" xfId="0" applyNumberFormat="1" applyFont="1" applyFill="1" applyBorder="1" applyAlignment="1">
      <alignment horizontal="center" vertical="center"/>
    </xf>
    <xf numFmtId="0" fontId="13" fillId="0" borderId="0" xfId="0" applyFont="1" applyAlignment="1"/>
    <xf numFmtId="185" fontId="6" fillId="0" borderId="0" xfId="0" applyNumberFormat="1" applyFont="1" applyFill="1" applyAlignment="1"/>
    <xf numFmtId="185" fontId="8" fillId="0" borderId="13" xfId="0" applyNumberFormat="1" applyFont="1" applyFill="1" applyBorder="1" applyAlignment="1">
      <alignment horizontal="left" vertical="center"/>
    </xf>
    <xf numFmtId="177" fontId="8" fillId="0" borderId="13" xfId="0" applyNumberFormat="1" applyFont="1" applyFill="1" applyBorder="1" applyAlignment="1">
      <alignment horizontal="center" vertical="center" wrapText="1"/>
    </xf>
    <xf numFmtId="0" fontId="8" fillId="0" borderId="0" xfId="0" applyFont="1" applyFill="1" applyBorder="1" applyAlignment="1">
      <alignment horizontal="left" vertical="center"/>
    </xf>
    <xf numFmtId="0" fontId="11" fillId="0" borderId="0" xfId="0" applyFont="1" applyFill="1" applyBorder="1" applyAlignment="1"/>
    <xf numFmtId="185" fontId="8" fillId="0" borderId="0" xfId="54" applyNumberFormat="1" applyFont="1" applyFill="1" applyBorder="1" applyAlignment="1" applyProtection="1">
      <alignment horizontal="center" vertical="center"/>
    </xf>
    <xf numFmtId="177" fontId="8" fillId="0" borderId="16" xfId="59" applyNumberFormat="1" applyFont="1" applyFill="1" applyBorder="1" applyAlignment="1" applyProtection="1">
      <alignment horizontal="center" vertical="center"/>
    </xf>
    <xf numFmtId="0" fontId="0" fillId="0" borderId="0" xfId="0" applyFont="1" applyFill="1" applyBorder="1" applyAlignment="1">
      <alignment horizontal="center" vertical="center"/>
    </xf>
    <xf numFmtId="180" fontId="8" fillId="0" borderId="0" xfId="0" applyNumberFormat="1" applyFont="1" applyFill="1" applyBorder="1" applyAlignment="1">
      <alignment horizontal="center" vertical="center"/>
    </xf>
    <xf numFmtId="1" fontId="8" fillId="0" borderId="8" xfId="0" applyNumberFormat="1" applyFont="1" applyFill="1" applyBorder="1" applyAlignment="1">
      <alignment horizontal="center" vertical="center"/>
    </xf>
    <xf numFmtId="0" fontId="8" fillId="0" borderId="7" xfId="0" applyFont="1" applyFill="1" applyBorder="1" applyAlignment="1">
      <alignment horizontal="left" vertical="center" wrapText="1"/>
    </xf>
    <xf numFmtId="177" fontId="8" fillId="0" borderId="8" xfId="0" applyNumberFormat="1" applyFont="1" applyFill="1" applyBorder="1" applyAlignment="1">
      <alignment horizontal="center" vertical="center" wrapText="1"/>
    </xf>
    <xf numFmtId="0" fontId="8" fillId="0" borderId="12" xfId="0" applyFont="1" applyFill="1" applyBorder="1" applyAlignment="1">
      <alignment horizontal="left" vertical="center" wrapText="1"/>
    </xf>
    <xf numFmtId="185" fontId="8" fillId="0" borderId="15" xfId="0" applyNumberFormat="1" applyFont="1" applyFill="1" applyBorder="1" applyAlignment="1">
      <alignment horizontal="center" vertical="center"/>
    </xf>
    <xf numFmtId="0" fontId="8" fillId="0" borderId="24" xfId="0" applyFont="1" applyFill="1" applyBorder="1">
      <alignment vertical="center"/>
    </xf>
    <xf numFmtId="177" fontId="12" fillId="0" borderId="7" xfId="0" applyNumberFormat="1" applyFont="1" applyFill="1" applyBorder="1" applyAlignment="1">
      <alignment horizontal="center" vertical="center" wrapText="1"/>
    </xf>
    <xf numFmtId="183" fontId="8" fillId="0" borderId="0" xfId="0" applyNumberFormat="1" applyFont="1" applyFill="1" applyBorder="1" applyAlignment="1">
      <alignment horizontal="center" vertical="center"/>
    </xf>
    <xf numFmtId="177" fontId="8" fillId="0" borderId="13" xfId="59" applyNumberFormat="1" applyFont="1" applyFill="1" applyBorder="1" applyAlignment="1" applyProtection="1">
      <alignment horizontal="center" vertical="center"/>
    </xf>
    <xf numFmtId="0" fontId="6" fillId="0" borderId="0" xfId="0" applyFont="1" applyFill="1" applyAlignment="1">
      <alignment horizontal="center" vertical="center"/>
    </xf>
    <xf numFmtId="177" fontId="8" fillId="0" borderId="0" xfId="59" applyNumberFormat="1" applyFont="1" applyFill="1" applyBorder="1" applyAlignment="1" applyProtection="1">
      <alignment horizontal="center" vertical="center"/>
    </xf>
    <xf numFmtId="0" fontId="14" fillId="0" borderId="0" xfId="0" applyFont="1" applyFill="1" applyBorder="1" applyAlignment="1">
      <alignment horizontal="center" vertical="center"/>
    </xf>
    <xf numFmtId="0" fontId="15" fillId="10" borderId="25" xfId="0" applyFont="1" applyFill="1" applyBorder="1" applyAlignment="1">
      <alignment horizontal="center" vertical="center"/>
    </xf>
    <xf numFmtId="0" fontId="8" fillId="0" borderId="26" xfId="0" applyFont="1" applyFill="1" applyBorder="1" applyAlignment="1">
      <alignment horizontal="center" vertical="center" wrapText="1"/>
    </xf>
    <xf numFmtId="0" fontId="8" fillId="0" borderId="23" xfId="0" applyFont="1" applyFill="1" applyBorder="1">
      <alignment vertical="center"/>
    </xf>
    <xf numFmtId="185" fontId="8" fillId="0" borderId="27" xfId="0" applyNumberFormat="1" applyFont="1" applyFill="1" applyBorder="1" applyAlignment="1">
      <alignment horizontal="center" vertical="center"/>
    </xf>
    <xf numFmtId="181" fontId="8" fillId="0" borderId="28" xfId="0" applyNumberFormat="1" applyFont="1" applyFill="1" applyBorder="1" applyAlignment="1">
      <alignment horizontal="center" vertical="center"/>
    </xf>
    <xf numFmtId="0" fontId="12" fillId="0" borderId="0" xfId="0" applyFont="1" applyAlignment="1">
      <alignment horizontal="right" vertical="center" wrapText="1"/>
    </xf>
    <xf numFmtId="0" fontId="8" fillId="0" borderId="12" xfId="0" applyFont="1" applyFill="1" applyBorder="1" applyAlignment="1">
      <alignment horizontal="center" vertical="center"/>
    </xf>
    <xf numFmtId="0" fontId="8" fillId="0" borderId="29" xfId="0" applyFont="1" applyFill="1" applyBorder="1" applyAlignment="1">
      <alignment horizontal="left" vertical="center" wrapText="1"/>
    </xf>
    <xf numFmtId="181" fontId="8" fillId="0" borderId="30" xfId="0" applyNumberFormat="1" applyFont="1" applyFill="1" applyBorder="1" applyAlignment="1">
      <alignment horizontal="center" vertical="center"/>
    </xf>
    <xf numFmtId="0" fontId="8" fillId="0" borderId="26" xfId="0" applyFont="1" applyFill="1" applyBorder="1" applyAlignment="1">
      <alignment horizontal="left" vertical="center" wrapText="1"/>
    </xf>
    <xf numFmtId="0" fontId="9" fillId="0" borderId="0" xfId="0" applyFont="1" applyFill="1">
      <alignment vertical="center"/>
    </xf>
    <xf numFmtId="0" fontId="15"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177" fontId="16" fillId="0" borderId="0" xfId="0" applyNumberFormat="1" applyFont="1" applyFill="1" applyBorder="1" applyAlignment="1">
      <alignment horizontal="center" vertical="center"/>
    </xf>
    <xf numFmtId="0" fontId="16" fillId="0" borderId="0" xfId="0" applyFont="1" applyFill="1" applyAlignment="1">
      <alignment horizontal="center" vertical="center"/>
    </xf>
    <xf numFmtId="178" fontId="16" fillId="0" borderId="0" xfId="0" applyNumberFormat="1" applyFont="1" applyFill="1" applyBorder="1" applyAlignment="1">
      <alignment horizontal="center" vertical="center"/>
    </xf>
    <xf numFmtId="0" fontId="16" fillId="0" borderId="0" xfId="0" applyFont="1" applyFill="1" applyBorder="1" applyAlignment="1">
      <alignment horizontal="left" vertical="center" wrapText="1"/>
    </xf>
    <xf numFmtId="177" fontId="8" fillId="0" borderId="0" xfId="0" applyNumberFormat="1" applyFont="1" applyFill="1" applyAlignment="1">
      <alignment horizontal="center" vertical="center"/>
    </xf>
    <xf numFmtId="0" fontId="12" fillId="0" borderId="0" xfId="0" applyFont="1" applyBorder="1" applyAlignment="1">
      <alignment horizontal="right" vertical="center" wrapText="1"/>
    </xf>
    <xf numFmtId="177" fontId="8" fillId="0" borderId="31" xfId="0" applyNumberFormat="1" applyFont="1" applyFill="1" applyBorder="1" applyAlignment="1">
      <alignment horizontal="center" vertical="center"/>
    </xf>
    <xf numFmtId="0" fontId="8" fillId="0" borderId="7"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7" xfId="0" applyFont="1" applyFill="1" applyBorder="1" applyAlignment="1">
      <alignment vertical="top" wrapText="1"/>
    </xf>
    <xf numFmtId="0" fontId="8" fillId="0" borderId="7" xfId="0" applyNumberFormat="1" applyFont="1" applyFill="1" applyBorder="1" applyAlignment="1">
      <alignment vertical="top" wrapText="1"/>
    </xf>
    <xf numFmtId="0" fontId="8" fillId="0" borderId="7" xfId="0" applyFont="1" applyFill="1" applyBorder="1" applyAlignment="1">
      <alignment horizontal="left" vertical="top" wrapText="1"/>
    </xf>
    <xf numFmtId="0" fontId="8" fillId="0" borderId="13" xfId="0" applyFont="1" applyFill="1" applyBorder="1" applyAlignment="1">
      <alignment vertical="center" wrapText="1"/>
    </xf>
    <xf numFmtId="0" fontId="8" fillId="0" borderId="16" xfId="0" applyFont="1" applyFill="1" applyBorder="1">
      <alignment vertical="center"/>
    </xf>
    <xf numFmtId="0" fontId="8" fillId="0" borderId="16" xfId="0" applyFont="1" applyFill="1" applyBorder="1" applyAlignment="1">
      <alignment horizontal="center" vertical="center"/>
    </xf>
    <xf numFmtId="0" fontId="8" fillId="0" borderId="7" xfId="0" applyNumberFormat="1" applyFont="1" applyFill="1" applyBorder="1" applyAlignment="1">
      <alignment horizontal="center" vertical="center"/>
    </xf>
    <xf numFmtId="177" fontId="8" fillId="0" borderId="10" xfId="0" applyNumberFormat="1" applyFont="1" applyFill="1" applyBorder="1" applyAlignment="1">
      <alignment horizontal="center" vertical="center"/>
    </xf>
    <xf numFmtId="182" fontId="8" fillId="0" borderId="8" xfId="0" applyNumberFormat="1" applyFont="1" applyFill="1" applyBorder="1" applyAlignment="1">
      <alignment horizontal="center" vertical="center" wrapText="1"/>
    </xf>
    <xf numFmtId="186" fontId="8" fillId="0" borderId="0" xfId="0" applyNumberFormat="1" applyFont="1" applyFill="1" applyBorder="1" applyAlignment="1">
      <alignment horizontal="center" vertical="center" wrapText="1"/>
    </xf>
    <xf numFmtId="182" fontId="8" fillId="0" borderId="5" xfId="0" applyNumberFormat="1" applyFont="1" applyFill="1" applyBorder="1" applyAlignment="1">
      <alignment horizontal="center" vertical="center" wrapText="1"/>
    </xf>
    <xf numFmtId="186" fontId="8" fillId="0" borderId="6" xfId="0" applyNumberFormat="1" applyFont="1" applyFill="1" applyBorder="1" applyAlignment="1">
      <alignment horizontal="center" vertical="center" wrapText="1"/>
    </xf>
    <xf numFmtId="182" fontId="8" fillId="0" borderId="0" xfId="0" applyNumberFormat="1" applyFont="1" applyFill="1" applyBorder="1" applyAlignment="1">
      <alignment horizontal="center" vertical="center"/>
    </xf>
    <xf numFmtId="177" fontId="8" fillId="0" borderId="32" xfId="0" applyNumberFormat="1" applyFont="1" applyFill="1" applyBorder="1" applyAlignment="1">
      <alignment horizontal="center" vertical="center"/>
    </xf>
    <xf numFmtId="0" fontId="8" fillId="0" borderId="16" xfId="0" applyFont="1" applyFill="1" applyBorder="1" applyAlignment="1">
      <alignment horizontal="left" vertical="center"/>
    </xf>
    <xf numFmtId="185" fontId="8" fillId="0" borderId="0" xfId="0" applyNumberFormat="1" applyFont="1" applyFill="1" applyBorder="1" applyAlignment="1">
      <alignment horizontal="center" vertical="center"/>
    </xf>
    <xf numFmtId="183" fontId="8" fillId="0" borderId="6" xfId="0" applyNumberFormat="1" applyFont="1" applyFill="1" applyBorder="1" applyAlignment="1">
      <alignment horizontal="center" vertical="center"/>
    </xf>
    <xf numFmtId="177" fontId="8" fillId="0" borderId="0" xfId="0" applyNumberFormat="1" applyFont="1" applyFill="1" applyBorder="1" applyAlignment="1">
      <alignment horizontal="left" vertical="center"/>
    </xf>
    <xf numFmtId="185" fontId="8" fillId="0" borderId="16"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18" fillId="0" borderId="0" xfId="0" applyFont="1" applyFill="1" applyBorder="1" applyAlignment="1">
      <alignment horizontal="center"/>
    </xf>
    <xf numFmtId="186" fontId="8" fillId="0" borderId="4" xfId="0" applyNumberFormat="1" applyFont="1" applyFill="1" applyBorder="1" applyAlignment="1">
      <alignment horizontal="center" vertical="center" wrapText="1"/>
    </xf>
    <xf numFmtId="186" fontId="8" fillId="0" borderId="7" xfId="0" applyNumberFormat="1" applyFont="1" applyFill="1" applyBorder="1" applyAlignment="1">
      <alignment horizontal="left" vertical="center"/>
    </xf>
    <xf numFmtId="187" fontId="8" fillId="0" borderId="7" xfId="0" applyNumberFormat="1" applyFont="1" applyFill="1" applyBorder="1" applyAlignment="1">
      <alignment horizontal="left" vertical="center"/>
    </xf>
    <xf numFmtId="178" fontId="8" fillId="0" borderId="0" xfId="0" applyNumberFormat="1" applyFont="1" applyFill="1" applyBorder="1" applyAlignment="1">
      <alignment horizontal="center" vertical="center" wrapText="1"/>
    </xf>
    <xf numFmtId="181" fontId="8" fillId="0" borderId="0" xfId="0" applyNumberFormat="1" applyFont="1" applyFill="1" applyBorder="1" applyAlignment="1">
      <alignment horizontal="center" vertical="center"/>
    </xf>
    <xf numFmtId="187" fontId="8" fillId="0" borderId="33" xfId="0" applyNumberFormat="1" applyFont="1" applyFill="1" applyBorder="1" applyAlignment="1">
      <alignment horizontal="left" vertical="center"/>
    </xf>
    <xf numFmtId="177" fontId="8" fillId="0" borderId="34" xfId="0" applyNumberFormat="1" applyFont="1" applyFill="1" applyBorder="1" applyAlignment="1">
      <alignment horizontal="center" vertical="center"/>
    </xf>
    <xf numFmtId="0" fontId="8" fillId="0" borderId="17" xfId="0" applyFont="1" applyFill="1" applyBorder="1" applyAlignment="1">
      <alignment vertical="top" wrapText="1"/>
    </xf>
    <xf numFmtId="0" fontId="19" fillId="0" borderId="7" xfId="0" applyFont="1" applyFill="1" applyBorder="1" applyAlignment="1">
      <alignment horizontal="left" vertical="center" wrapText="1"/>
    </xf>
    <xf numFmtId="177" fontId="19" fillId="0" borderId="8" xfId="0" applyNumberFormat="1" applyFont="1" applyFill="1" applyBorder="1" applyAlignment="1">
      <alignment horizontal="center" vertical="center" wrapText="1"/>
    </xf>
    <xf numFmtId="177" fontId="19" fillId="0" borderId="0" xfId="0" applyNumberFormat="1" applyFont="1" applyFill="1" applyBorder="1" applyAlignment="1">
      <alignment horizontal="center" vertical="center" wrapText="1"/>
    </xf>
    <xf numFmtId="0" fontId="8" fillId="0" borderId="35" xfId="0" applyFont="1" applyFill="1" applyBorder="1">
      <alignment vertical="center"/>
    </xf>
    <xf numFmtId="181" fontId="8" fillId="0" borderId="36" xfId="0" applyNumberFormat="1" applyFont="1" applyFill="1" applyBorder="1" applyAlignment="1">
      <alignment horizontal="center" vertical="center"/>
    </xf>
    <xf numFmtId="177" fontId="8" fillId="0" borderId="37" xfId="0" applyNumberFormat="1" applyFont="1" applyFill="1" applyBorder="1" applyAlignment="1">
      <alignment horizontal="center" vertical="center"/>
    </xf>
    <xf numFmtId="0" fontId="15" fillId="3" borderId="20" xfId="0" applyFont="1" applyFill="1" applyBorder="1" applyAlignment="1">
      <alignment horizontal="center" vertical="center"/>
    </xf>
    <xf numFmtId="0" fontId="8" fillId="0" borderId="38" xfId="0" applyFont="1" applyFill="1" applyBorder="1" applyAlignment="1">
      <alignment horizontal="center" vertical="center" wrapText="1"/>
    </xf>
    <xf numFmtId="177" fontId="8" fillId="0" borderId="39" xfId="0" applyNumberFormat="1" applyFont="1" applyFill="1" applyBorder="1" applyAlignment="1">
      <alignment horizontal="center" vertical="center"/>
    </xf>
    <xf numFmtId="177" fontId="8" fillId="0" borderId="8" xfId="0" applyNumberFormat="1" applyFont="1" applyFill="1" applyBorder="1" applyAlignment="1">
      <alignment horizontal="center"/>
    </xf>
    <xf numFmtId="177" fontId="8" fillId="0" borderId="9" xfId="0" applyNumberFormat="1" applyFont="1" applyFill="1" applyBorder="1" applyAlignment="1">
      <alignment horizontal="center"/>
    </xf>
    <xf numFmtId="177" fontId="8" fillId="0" borderId="40" xfId="0" applyNumberFormat="1" applyFont="1" applyFill="1" applyBorder="1" applyAlignment="1">
      <alignment horizontal="center" vertical="center"/>
    </xf>
    <xf numFmtId="0" fontId="6" fillId="0" borderId="17" xfId="0" applyFont="1" applyFill="1" applyBorder="1" applyAlignment="1"/>
    <xf numFmtId="0" fontId="10" fillId="0" borderId="0" xfId="0" applyFont="1" applyFill="1" applyAlignment="1">
      <alignment horizontal="center" vertical="center"/>
    </xf>
    <xf numFmtId="179" fontId="19" fillId="0" borderId="0" xfId="0" applyNumberFormat="1" applyFont="1" applyFill="1" applyBorder="1" applyAlignment="1">
      <alignment horizontal="center" vertical="center" wrapText="1"/>
    </xf>
    <xf numFmtId="177" fontId="8" fillId="0" borderId="19" xfId="0" applyNumberFormat="1" applyFont="1" applyFill="1" applyBorder="1" applyAlignment="1">
      <alignment horizontal="center" vertical="center" wrapText="1"/>
    </xf>
    <xf numFmtId="177" fontId="8" fillId="0" borderId="16" xfId="0" applyNumberFormat="1" applyFont="1" applyFill="1" applyBorder="1" applyAlignment="1">
      <alignment horizontal="center" vertical="center" wrapText="1"/>
    </xf>
    <xf numFmtId="0" fontId="19" fillId="0" borderId="8" xfId="0" applyFont="1" applyFill="1" applyBorder="1" applyAlignment="1">
      <alignment horizontal="center" vertical="center" wrapText="1"/>
    </xf>
    <xf numFmtId="179" fontId="8" fillId="0" borderId="0" xfId="0" applyNumberFormat="1" applyFont="1" applyFill="1" applyBorder="1" applyAlignment="1">
      <alignment horizontal="center" vertical="center"/>
    </xf>
    <xf numFmtId="0" fontId="20" fillId="0" borderId="7" xfId="0" applyFont="1" applyFill="1" applyBorder="1" applyAlignment="1">
      <alignment horizontal="left" vertical="center" wrapText="1"/>
    </xf>
    <xf numFmtId="0" fontId="19" fillId="0" borderId="8" xfId="0" applyNumberFormat="1" applyFont="1" applyFill="1" applyBorder="1" applyAlignment="1">
      <alignment horizontal="center" vertical="center" wrapText="1"/>
    </xf>
    <xf numFmtId="0" fontId="20" fillId="0" borderId="7" xfId="0" applyNumberFormat="1" applyFont="1" applyFill="1" applyBorder="1" applyAlignment="1">
      <alignment horizontal="left" vertical="center" wrapText="1"/>
    </xf>
    <xf numFmtId="181" fontId="19" fillId="0" borderId="8" xfId="0" applyNumberFormat="1" applyFont="1" applyFill="1" applyBorder="1" applyAlignment="1">
      <alignment horizontal="center" vertical="center" wrapText="1"/>
    </xf>
    <xf numFmtId="182" fontId="8" fillId="0" borderId="8" xfId="0" applyNumberFormat="1" applyFont="1" applyFill="1" applyBorder="1" applyAlignment="1">
      <alignment horizontal="center" vertical="center"/>
    </xf>
    <xf numFmtId="182" fontId="8" fillId="0" borderId="19" xfId="0" applyNumberFormat="1" applyFont="1" applyFill="1" applyBorder="1" applyAlignment="1">
      <alignment horizontal="center" vertical="center"/>
    </xf>
    <xf numFmtId="182" fontId="8" fillId="0" borderId="41" xfId="0" applyNumberFormat="1" applyFont="1" applyFill="1" applyBorder="1" applyAlignment="1">
      <alignment horizontal="center" vertical="center" wrapText="1"/>
    </xf>
    <xf numFmtId="0" fontId="8" fillId="0" borderId="5" xfId="0" applyFont="1" applyFill="1" applyBorder="1" applyAlignment="1">
      <alignment horizontal="center" vertical="center"/>
    </xf>
    <xf numFmtId="182" fontId="7" fillId="0" borderId="0" xfId="0" applyNumberFormat="1" applyFont="1" applyFill="1">
      <alignment vertical="center"/>
    </xf>
    <xf numFmtId="177" fontId="12" fillId="0" borderId="8" xfId="0" applyNumberFormat="1" applyFont="1" applyBorder="1" applyAlignment="1">
      <alignment horizontal="center" vertical="center"/>
    </xf>
    <xf numFmtId="177" fontId="6" fillId="0" borderId="0" xfId="0" applyNumberFormat="1" applyFont="1" applyFill="1">
      <alignment vertical="center"/>
    </xf>
    <xf numFmtId="182" fontId="8" fillId="0" borderId="42" xfId="0" applyNumberFormat="1" applyFont="1" applyFill="1" applyBorder="1" applyAlignment="1">
      <alignment horizontal="center" vertical="center" wrapText="1"/>
    </xf>
    <xf numFmtId="0" fontId="8" fillId="0" borderId="43" xfId="0" applyFont="1" applyFill="1" applyBorder="1" applyAlignment="1">
      <alignment horizontal="center" vertical="center" wrapText="1"/>
    </xf>
    <xf numFmtId="0" fontId="8" fillId="0" borderId="44" xfId="0" applyFont="1" applyFill="1" applyBorder="1" applyAlignment="1">
      <alignment horizontal="center" vertical="center" wrapText="1"/>
    </xf>
    <xf numFmtId="181" fontId="8" fillId="0" borderId="5" xfId="0" applyNumberFormat="1" applyFont="1" applyFill="1" applyBorder="1" applyAlignment="1">
      <alignment horizontal="center" vertical="center" wrapText="1"/>
    </xf>
    <xf numFmtId="185" fontId="8" fillId="0" borderId="15" xfId="0" applyNumberFormat="1" applyFont="1" applyFill="1" applyBorder="1" applyAlignment="1">
      <alignment horizontal="left" vertical="center"/>
    </xf>
    <xf numFmtId="185" fontId="8" fillId="0" borderId="7" xfId="0" applyNumberFormat="1" applyFont="1" applyFill="1" applyBorder="1" applyAlignment="1">
      <alignment horizontal="left" vertical="center"/>
    </xf>
    <xf numFmtId="177" fontId="19" fillId="0" borderId="8" xfId="57" applyNumberFormat="1" applyFont="1" applyFill="1" applyBorder="1" applyAlignment="1" applyProtection="1">
      <alignment horizontal="center" vertical="center"/>
    </xf>
    <xf numFmtId="177" fontId="8" fillId="0" borderId="0" xfId="60" applyNumberFormat="1" applyFont="1" applyFill="1" applyBorder="1" applyAlignment="1" applyProtection="1">
      <alignment horizontal="center" vertical="center"/>
    </xf>
    <xf numFmtId="178" fontId="8" fillId="0" borderId="6" xfId="0" applyNumberFormat="1" applyFont="1" applyFill="1" applyBorder="1" applyAlignment="1">
      <alignment horizontal="center" vertical="center"/>
    </xf>
    <xf numFmtId="185" fontId="8" fillId="0" borderId="4" xfId="0" applyNumberFormat="1" applyFont="1" applyFill="1" applyBorder="1" applyAlignment="1">
      <alignment horizontal="left" vertical="center"/>
    </xf>
    <xf numFmtId="177" fontId="8" fillId="0" borderId="5" xfId="60" applyNumberFormat="1" applyFont="1" applyFill="1" applyBorder="1" applyAlignment="1" applyProtection="1">
      <alignment horizontal="center" vertical="center"/>
    </xf>
    <xf numFmtId="0" fontId="8" fillId="0" borderId="0" xfId="0" applyFont="1" applyFill="1" applyBorder="1" applyAlignment="1">
      <alignment vertical="top" wrapText="1"/>
    </xf>
    <xf numFmtId="181" fontId="8" fillId="0" borderId="8" xfId="0" applyNumberFormat="1" applyFont="1" applyFill="1" applyBorder="1" applyAlignment="1">
      <alignment horizontal="center" vertical="center" wrapText="1"/>
    </xf>
    <xf numFmtId="177" fontId="8" fillId="0" borderId="6" xfId="0" applyNumberFormat="1" applyFont="1" applyFill="1" applyBorder="1" applyAlignment="1">
      <alignment horizontal="center" vertical="center" wrapText="1"/>
    </xf>
    <xf numFmtId="177" fontId="8" fillId="0" borderId="12" xfId="60" applyNumberFormat="1" applyFont="1" applyFill="1" applyBorder="1" applyAlignment="1" applyProtection="1">
      <alignment horizontal="center" vertical="center"/>
    </xf>
    <xf numFmtId="177" fontId="4" fillId="0" borderId="0" xfId="0" applyNumberFormat="1" applyFont="1" applyBorder="1" applyAlignment="1">
      <alignment horizontal="center" vertical="center"/>
    </xf>
    <xf numFmtId="177" fontId="19" fillId="0" borderId="0" xfId="57" applyNumberFormat="1" applyFont="1" applyFill="1" applyBorder="1" applyAlignment="1" applyProtection="1">
      <alignment horizontal="center" vertical="center"/>
    </xf>
    <xf numFmtId="0" fontId="0" fillId="0" borderId="0" xfId="0" applyFont="1" applyBorder="1" applyAlignment="1">
      <alignment horizontal="center" vertical="center"/>
    </xf>
    <xf numFmtId="0" fontId="8" fillId="0" borderId="33" xfId="0" applyFont="1" applyFill="1" applyBorder="1" applyAlignment="1">
      <alignment horizontal="center" vertical="center"/>
    </xf>
    <xf numFmtId="0" fontId="8" fillId="0" borderId="33" xfId="0" applyFont="1" applyFill="1" applyBorder="1" applyAlignment="1">
      <alignment horizontal="center" vertical="center" wrapText="1"/>
    </xf>
    <xf numFmtId="0" fontId="8" fillId="0" borderId="21" xfId="0" applyFont="1" applyFill="1" applyBorder="1" applyAlignment="1">
      <alignment horizontal="left" vertical="center"/>
    </xf>
    <xf numFmtId="181" fontId="8" fillId="0" borderId="21" xfId="0" applyNumberFormat="1" applyFont="1" applyFill="1" applyBorder="1" applyAlignment="1">
      <alignment horizontal="center" vertical="center" wrapText="1"/>
    </xf>
    <xf numFmtId="181" fontId="8" fillId="0" borderId="4" xfId="0" applyNumberFormat="1" applyFont="1" applyFill="1" applyBorder="1" applyAlignment="1">
      <alignment horizontal="center" vertical="center" wrapText="1"/>
    </xf>
    <xf numFmtId="181" fontId="8" fillId="0" borderId="15" xfId="0" applyNumberFormat="1" applyFont="1" applyFill="1" applyBorder="1" applyAlignment="1">
      <alignment horizontal="center" vertical="center"/>
    </xf>
    <xf numFmtId="0" fontId="21" fillId="0" borderId="0" xfId="0" applyFont="1" applyAlignment="1"/>
    <xf numFmtId="0" fontId="8" fillId="0" borderId="45" xfId="0" applyFont="1" applyFill="1" applyBorder="1" applyAlignment="1">
      <alignment horizontal="center" vertical="center" wrapText="1"/>
    </xf>
    <xf numFmtId="177" fontId="8" fillId="0" borderId="23" xfId="0" applyNumberFormat="1" applyFont="1" applyFill="1" applyBorder="1" applyAlignment="1">
      <alignment horizontal="center" vertical="center" wrapText="1"/>
    </xf>
    <xf numFmtId="185" fontId="8" fillId="0" borderId="0" xfId="0" applyNumberFormat="1" applyFont="1" applyFill="1" applyBorder="1" applyAlignment="1">
      <alignment horizontal="left" vertical="center"/>
    </xf>
    <xf numFmtId="185" fontId="8" fillId="0" borderId="0" xfId="0" applyNumberFormat="1" applyFont="1" applyBorder="1" applyAlignment="1">
      <alignment horizontal="left" vertical="center"/>
    </xf>
    <xf numFmtId="0" fontId="8" fillId="0" borderId="46" xfId="0" applyFont="1" applyFill="1" applyBorder="1" applyAlignment="1">
      <alignment horizontal="center" vertical="center" wrapText="1"/>
    </xf>
    <xf numFmtId="177" fontId="8" fillId="0" borderId="5" xfId="0" applyNumberFormat="1" applyFont="1" applyFill="1" applyBorder="1" applyAlignment="1">
      <alignment horizontal="center" vertical="center" wrapText="1"/>
    </xf>
    <xf numFmtId="177" fontId="8" fillId="0" borderId="18" xfId="60" applyNumberFormat="1" applyFont="1" applyFill="1" applyBorder="1" applyAlignment="1" applyProtection="1">
      <alignment horizontal="center" vertical="center"/>
    </xf>
    <xf numFmtId="0" fontId="8" fillId="0" borderId="47" xfId="0" applyFont="1" applyFill="1" applyBorder="1" applyAlignment="1">
      <alignment horizontal="center" vertical="center" wrapText="1"/>
    </xf>
    <xf numFmtId="0" fontId="8" fillId="0" borderId="48" xfId="0" applyFont="1" applyFill="1" applyBorder="1" applyAlignment="1">
      <alignment horizontal="center" vertical="center"/>
    </xf>
    <xf numFmtId="0" fontId="11" fillId="0" borderId="0" xfId="0" applyFont="1" applyFill="1" applyBorder="1" applyAlignment="1">
      <alignment horizontal="center"/>
    </xf>
    <xf numFmtId="182" fontId="8" fillId="0" borderId="0" xfId="0" applyNumberFormat="1" applyFont="1" applyFill="1" applyAlignment="1">
      <alignment horizontal="center" vertical="center"/>
    </xf>
    <xf numFmtId="182" fontId="8" fillId="0" borderId="18" xfId="60" applyNumberFormat="1" applyFont="1" applyFill="1" applyBorder="1" applyAlignment="1" applyProtection="1">
      <alignment horizontal="center" vertical="center"/>
    </xf>
    <xf numFmtId="182" fontId="8" fillId="0" borderId="12" xfId="60" applyNumberFormat="1" applyFont="1" applyFill="1" applyBorder="1" applyAlignment="1" applyProtection="1">
      <alignment horizontal="center" vertical="center"/>
    </xf>
    <xf numFmtId="182" fontId="19" fillId="0" borderId="8" xfId="57" applyNumberFormat="1" applyFont="1" applyFill="1" applyBorder="1" applyAlignment="1" applyProtection="1">
      <alignment horizontal="center" vertical="center"/>
    </xf>
    <xf numFmtId="182" fontId="19" fillId="0" borderId="0" xfId="57" applyNumberFormat="1" applyFont="1" applyFill="1" applyBorder="1" applyAlignment="1" applyProtection="1">
      <alignment horizontal="center" vertical="center"/>
    </xf>
    <xf numFmtId="182" fontId="8" fillId="0" borderId="5" xfId="60" applyNumberFormat="1" applyFont="1" applyFill="1" applyBorder="1" applyAlignment="1" applyProtection="1">
      <alignment horizontal="center" vertical="center"/>
    </xf>
    <xf numFmtId="182" fontId="8" fillId="0" borderId="19" xfId="0" applyNumberFormat="1" applyFont="1" applyFill="1" applyBorder="1" applyAlignment="1">
      <alignment horizontal="center" vertical="center" wrapText="1"/>
    </xf>
    <xf numFmtId="182" fontId="8" fillId="0" borderId="16" xfId="0" applyNumberFormat="1" applyFont="1" applyFill="1" applyBorder="1" applyAlignment="1">
      <alignment horizontal="center" vertical="center" wrapText="1"/>
    </xf>
    <xf numFmtId="0" fontId="8" fillId="0" borderId="46" xfId="0" applyNumberFormat="1" applyFont="1" applyFill="1" applyBorder="1" applyAlignment="1">
      <alignment horizontal="center" vertical="center" wrapText="1"/>
    </xf>
    <xf numFmtId="177" fontId="8" fillId="0" borderId="17" xfId="0" applyNumberFormat="1" applyFont="1" applyFill="1" applyBorder="1" applyAlignment="1">
      <alignment horizontal="center" vertical="center" wrapText="1"/>
    </xf>
    <xf numFmtId="0" fontId="8" fillId="0" borderId="17" xfId="0" applyFont="1" applyFill="1" applyBorder="1" applyAlignment="1">
      <alignment horizontal="center" vertical="center" wrapText="1"/>
    </xf>
    <xf numFmtId="178" fontId="0" fillId="0" borderId="0" xfId="59" applyNumberFormat="1" applyFont="1" applyBorder="1" applyAlignment="1" applyProtection="1">
      <alignment vertical="center"/>
    </xf>
    <xf numFmtId="188" fontId="8" fillId="0" borderId="0" xfId="60" applyNumberFormat="1" applyFont="1" applyFill="1" applyBorder="1" applyAlignment="1" applyProtection="1">
      <alignment horizontal="center" vertical="center"/>
    </xf>
    <xf numFmtId="178" fontId="6" fillId="0" borderId="0" xfId="0" applyNumberFormat="1" applyFont="1" applyFill="1">
      <alignment vertical="center"/>
    </xf>
    <xf numFmtId="0" fontId="15" fillId="0" borderId="16" xfId="0" applyFont="1" applyFill="1" applyBorder="1" applyAlignment="1">
      <alignment horizontal="center"/>
    </xf>
    <xf numFmtId="177" fontId="7" fillId="0" borderId="0" xfId="0" applyNumberFormat="1" applyFont="1" applyFill="1">
      <alignment vertical="center"/>
    </xf>
    <xf numFmtId="185" fontId="8" fillId="0" borderId="0" xfId="60" applyNumberFormat="1" applyFont="1" applyFill="1" applyBorder="1" applyAlignment="1" applyProtection="1">
      <alignment horizontal="center" vertical="center"/>
    </xf>
    <xf numFmtId="177" fontId="19" fillId="0" borderId="5" xfId="57" applyNumberFormat="1" applyFont="1" applyFill="1" applyBorder="1" applyAlignment="1" applyProtection="1">
      <alignment horizontal="center" vertical="center"/>
    </xf>
    <xf numFmtId="177" fontId="19" fillId="0" borderId="6" xfId="57" applyNumberFormat="1" applyFont="1" applyFill="1" applyBorder="1" applyAlignment="1" applyProtection="1">
      <alignment horizontal="center" vertical="center"/>
    </xf>
    <xf numFmtId="181" fontId="7" fillId="0" borderId="0" xfId="0" applyNumberFormat="1" applyFont="1" applyFill="1" applyBorder="1">
      <alignment vertical="center"/>
    </xf>
    <xf numFmtId="181" fontId="7" fillId="0" borderId="0" xfId="0" applyNumberFormat="1" applyFont="1" applyFill="1">
      <alignment vertical="center"/>
    </xf>
    <xf numFmtId="0" fontId="15" fillId="3" borderId="16" xfId="0" applyFont="1" applyFill="1" applyBorder="1" applyAlignment="1">
      <alignment horizontal="center"/>
    </xf>
    <xf numFmtId="177" fontId="8" fillId="0" borderId="49" xfId="0" applyNumberFormat="1" applyFont="1" applyFill="1" applyBorder="1" applyAlignment="1">
      <alignment horizontal="center" vertical="center"/>
    </xf>
    <xf numFmtId="185" fontId="7" fillId="0" borderId="0" xfId="0" applyNumberFormat="1" applyFont="1" applyFill="1" applyBorder="1">
      <alignment vertical="center"/>
    </xf>
    <xf numFmtId="0" fontId="8" fillId="0" borderId="17" xfId="0" applyFont="1" applyFill="1" applyBorder="1" applyAlignment="1">
      <alignment horizontal="left" vertical="center" wrapText="1"/>
    </xf>
    <xf numFmtId="185" fontId="19" fillId="0" borderId="0" xfId="57" applyNumberFormat="1" applyFont="1" applyFill="1" applyBorder="1" applyAlignment="1" applyProtection="1">
      <alignment horizontal="center" vertical="center"/>
    </xf>
    <xf numFmtId="1" fontId="19" fillId="0" borderId="5" xfId="57" applyNumberFormat="1" applyFont="1" applyFill="1" applyBorder="1" applyAlignment="1" applyProtection="1">
      <alignment horizontal="center" vertical="center"/>
    </xf>
    <xf numFmtId="179" fontId="19" fillId="0" borderId="6" xfId="57" applyNumberFormat="1" applyFont="1" applyFill="1" applyBorder="1" applyAlignment="1" applyProtection="1">
      <alignment horizontal="center" vertical="center"/>
    </xf>
    <xf numFmtId="1" fontId="19" fillId="0" borderId="8" xfId="57" applyNumberFormat="1" applyFont="1" applyFill="1" applyBorder="1" applyAlignment="1" applyProtection="1">
      <alignment horizontal="center" vertical="center"/>
    </xf>
    <xf numFmtId="179" fontId="19" fillId="0" borderId="0" xfId="57" applyNumberFormat="1" applyFont="1" applyFill="1" applyBorder="1" applyAlignment="1" applyProtection="1">
      <alignment horizontal="center" vertical="center"/>
    </xf>
    <xf numFmtId="1" fontId="8" fillId="0" borderId="5" xfId="60" applyNumberFormat="1" applyFont="1" applyFill="1" applyBorder="1" applyAlignment="1" applyProtection="1">
      <alignment horizontal="center" vertical="center"/>
    </xf>
    <xf numFmtId="179" fontId="8" fillId="0" borderId="6" xfId="0" applyNumberFormat="1" applyFont="1" applyFill="1" applyBorder="1" applyAlignment="1">
      <alignment horizontal="center" vertical="center"/>
    </xf>
    <xf numFmtId="189" fontId="19" fillId="0" borderId="8" xfId="57" applyNumberFormat="1" applyFont="1" applyFill="1" applyBorder="1" applyAlignment="1" applyProtection="1">
      <alignment horizontal="center" vertical="center"/>
    </xf>
    <xf numFmtId="190" fontId="19" fillId="0" borderId="0" xfId="57" applyNumberFormat="1" applyFont="1" applyFill="1" applyBorder="1" applyAlignment="1" applyProtection="1">
      <alignment horizontal="center" vertical="center"/>
    </xf>
    <xf numFmtId="0" fontId="11" fillId="0" borderId="0" xfId="0" applyFont="1" applyAlignment="1"/>
    <xf numFmtId="0" fontId="11" fillId="0" borderId="0" xfId="0" applyFont="1" applyAlignment="1">
      <alignment horizontal="center"/>
    </xf>
    <xf numFmtId="0" fontId="22" fillId="0" borderId="0" xfId="0" applyFont="1" applyAlignment="1">
      <alignment horizontal="right"/>
    </xf>
    <xf numFmtId="0" fontId="11" fillId="0" borderId="0" xfId="0" applyFont="1" applyAlignment="1">
      <alignment horizontal="right"/>
    </xf>
    <xf numFmtId="49" fontId="23" fillId="0" borderId="50" xfId="0" applyNumberFormat="1" applyFont="1" applyBorder="1" applyAlignment="1">
      <alignment horizontal="right"/>
    </xf>
    <xf numFmtId="0" fontId="24" fillId="0" borderId="51" xfId="0" applyFont="1" applyFill="1" applyBorder="1" applyAlignment="1">
      <alignment horizontal="right" vertical="center"/>
    </xf>
    <xf numFmtId="0" fontId="24" fillId="0" borderId="0" xfId="0" applyFont="1" applyFill="1" applyBorder="1" applyAlignment="1">
      <alignment horizontal="right" vertical="center"/>
    </xf>
    <xf numFmtId="0" fontId="11" fillId="11" borderId="0" xfId="0" applyFont="1" applyFill="1" applyBorder="1" applyAlignment="1">
      <alignment horizontal="left" vertical="center" wrapText="1"/>
    </xf>
    <xf numFmtId="0" fontId="11" fillId="11" borderId="0" xfId="0" applyFont="1" applyFill="1" applyBorder="1" applyAlignment="1">
      <alignment horizontal="left" vertical="center"/>
    </xf>
    <xf numFmtId="0" fontId="0" fillId="0" borderId="0" xfId="0" applyFont="1" applyFill="1" applyBorder="1" applyAlignment="1">
      <alignment horizontal="left" vertical="center" wrapText="1"/>
    </xf>
    <xf numFmtId="0" fontId="0" fillId="0" borderId="0" xfId="0" applyFont="1" applyFill="1" applyBorder="1" applyAlignment="1">
      <alignment horizontal="left" vertical="center"/>
    </xf>
    <xf numFmtId="0" fontId="11" fillId="0" borderId="0" xfId="0" applyFont="1" applyFill="1" applyAlignment="1">
      <alignment horizontal="center"/>
    </xf>
    <xf numFmtId="0" fontId="25" fillId="0" borderId="0" xfId="0" applyFont="1">
      <alignment vertical="center"/>
    </xf>
    <xf numFmtId="0" fontId="11" fillId="11" borderId="0" xfId="0" applyFont="1" applyFill="1" applyAlignment="1">
      <alignment horizontal="left"/>
    </xf>
    <xf numFmtId="0" fontId="0" fillId="0" borderId="0" xfId="0" applyNumberFormat="1" applyFont="1" applyFill="1" applyBorder="1">
      <alignment vertical="center"/>
    </xf>
    <xf numFmtId="0" fontId="0" fillId="0" borderId="0" xfId="0" applyFont="1" applyFill="1" applyBorder="1">
      <alignment vertical="center"/>
    </xf>
    <xf numFmtId="0" fontId="25" fillId="0" borderId="0" xfId="0" applyFont="1" applyFill="1">
      <alignment vertical="center"/>
    </xf>
    <xf numFmtId="0" fontId="0" fillId="0" borderId="0" xfId="0" applyFont="1" applyFill="1" applyBorder="1" applyAlignment="1">
      <alignment vertical="center" wrapText="1"/>
    </xf>
    <xf numFmtId="0" fontId="0" fillId="0" borderId="0" xfId="0" applyNumberFormat="1" applyFont="1" applyFill="1" applyBorder="1" applyAlignment="1">
      <alignment horizontal="left" vertical="center"/>
    </xf>
    <xf numFmtId="0" fontId="0" fillId="0" borderId="0" xfId="0" applyNumberFormat="1" applyFill="1">
      <alignment vertical="center"/>
    </xf>
    <xf numFmtId="0" fontId="11" fillId="12" borderId="0" xfId="0" applyFont="1" applyFill="1" applyAlignment="1"/>
    <xf numFmtId="0" fontId="0" fillId="12" borderId="0" xfId="0" applyFill="1">
      <alignment vertical="center"/>
    </xf>
    <xf numFmtId="0" fontId="11" fillId="0" borderId="0" xfId="0" applyFont="1" applyFill="1" applyAlignment="1"/>
    <xf numFmtId="0" fontId="11" fillId="11" borderId="0" xfId="0" applyFont="1" applyFill="1" applyAlignment="1"/>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5" xfId="49"/>
    <cellStyle name="常规 51" xfId="50"/>
    <cellStyle name="常规_yb20001" xfId="51"/>
    <cellStyle name="常规 50" xfId="52"/>
    <cellStyle name="常规_B10034" xfId="53"/>
    <cellStyle name="常规 10 2 2" xfId="54"/>
    <cellStyle name="常规 11" xfId="55"/>
    <cellStyle name="常规_总值" xfId="56"/>
    <cellStyle name="常规 43" xfId="57"/>
    <cellStyle name="常规 2 2" xfId="58"/>
    <cellStyle name="常规 2 3" xfId="59"/>
    <cellStyle name="常规 7" xfId="60"/>
    <cellStyle name="千位分隔_7月" xfId="61"/>
    <cellStyle name="常规 2" xfId="62"/>
  </cellStyles>
  <tableStyles count="0" defaultTableStyle="TableStyleMedium9" defaultPivotStyle="PivotStyleLight16"/>
  <colors>
    <mruColors>
      <color rgb="00AD784D"/>
      <color rgb="00C68A3A"/>
      <color rgb="00E9EDF0"/>
      <color rgb="00FFFFFF"/>
      <color rgb="00DBEEF3"/>
      <color rgb="00E6F6FD"/>
      <color rgb="0061C4BE"/>
      <color rgb="0096D8D7"/>
      <color rgb="009EDBDB"/>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haredStrings" Target="sharedStrings.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externalLink" Target="externalLinks/externalLink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0821389195149"/>
          <c:y val="0.0616854908774978"/>
          <c:w val="0.858048511576627"/>
          <c:h val="0.629829134086304"/>
        </c:manualLayout>
      </c:layout>
      <c:barChart>
        <c:barDir val="col"/>
        <c:grouping val="clustered"/>
        <c:varyColors val="0"/>
        <c:ser>
          <c:idx val="1"/>
          <c:order val="1"/>
          <c:tx>
            <c:strRef>
              <c:f>'1'!$D$1</c:f>
              <c:strCache>
                <c:ptCount val="1"/>
                <c:pt idx="0">
                  <c:v>总量</c:v>
                </c:pt>
              </c:strCache>
            </c:strRef>
          </c:tx>
          <c:spPr>
            <a:solidFill>
              <a:srgbClr val="9EDBDB"/>
            </a:solidFill>
            <a:ln w="28575" cap="rnd" cmpd="sng" algn="ctr">
              <a:noFill/>
              <a:prstDash val="solid"/>
              <a:round/>
            </a:ln>
            <a:effectLst/>
          </c:spPr>
          <c:invertIfNegative val="0"/>
          <c:dPt>
            <c:idx val="6"/>
            <c:invertIfNegative val="0"/>
            <c:bubble3D val="0"/>
          </c:dPt>
          <c:dLbls>
            <c:spPr>
              <a:noFill/>
              <a:ln>
                <a:noFill/>
              </a:ln>
              <a:effectLst/>
            </c:spPr>
            <c:txPr>
              <a:bodyPr rot="0" spcFirstLastPara="0" vertOverflow="ellipsis" vert="horz" wrap="square" lIns="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'1'!$B$2:$B$10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'1'!$D$2:$D$10</c:f>
              <c:numCache>
                <c:formatCode>0_ </c:formatCode>
                <c:ptCount val="9"/>
                <c:pt idx="0">
                  <c:v>4722.96858342296</c:v>
                </c:pt>
                <c:pt idx="1" c:formatCode="0_);[Red]\(0\)">
                  <c:v>9601.53282422429</c:v>
                </c:pt>
                <c:pt idx="2" c:formatCode="0_);[Red]\(0\)">
                  <c:v>14437.5012456316</c:v>
                </c:pt>
                <c:pt idx="3" c:formatCode="0_);[Red]\(0\)">
                  <c:v>20058.9787400964</c:v>
                </c:pt>
                <c:pt idx="4">
                  <c:v>5111.89821604242</c:v>
                </c:pt>
                <c:pt idx="5" c:formatCode="0_);[Red]\(0\)">
                  <c:v>10137.05271504</c:v>
                </c:pt>
                <c:pt idx="6">
                  <c:v>15215.329562053</c:v>
                </c:pt>
                <c:pt idx="7">
                  <c:v>21860.3155697784</c:v>
                </c:pt>
                <c:pt idx="8">
                  <c:v>5715.43141746784</c:v>
                </c:pt>
              </c:numCache>
            </c:numRef>
          </c:val>
        </c:ser>
        <c:dLbls>
          <c:showLegendKey val="0"/>
          <c:showVal val="1"/>
          <c:showCatName val="0"/>
          <c:showSerName val="0"/>
          <c:showPercent val="0"/>
          <c:showBubbleSize val="0"/>
        </c:dLbls>
        <c:gapWidth val="150"/>
        <c:axId val="250329077"/>
        <c:axId val="340184441"/>
      </c:barChart>
      <c:lineChart>
        <c:grouping val="standard"/>
        <c:varyColors val="0"/>
        <c:ser>
          <c:idx val="0"/>
          <c:order val="0"/>
          <c:tx>
            <c:strRef>
              <c:f>'1'!$C$1</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5"/>
              <c:layout>
                <c:manualLayout>
                  <c:x val="-0.0431389212546121"/>
                  <c:y val="-0.075694031069082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'1'!$C$2:$C$10</c:f>
              <c:numCache>
                <c:formatCode>0.0</c:formatCode>
                <c:ptCount val="9"/>
                <c:pt idx="0">
                  <c:v>4.55909651450763</c:v>
                </c:pt>
                <c:pt idx="1" c:formatCode="0.0_ ">
                  <c:v>6.90263129118207</c:v>
                </c:pt>
                <c:pt idx="2" c:formatCode="0.0_ ">
                  <c:v>5.7519992111033</c:v>
                </c:pt>
                <c:pt idx="3" c:formatCode="0.0_ ">
                  <c:v>5.55318583971651</c:v>
                </c:pt>
                <c:pt idx="4" c:formatCode="0.0_ ">
                  <c:v>5.05043725087953</c:v>
                </c:pt>
                <c:pt idx="5" c:formatCode="0.0_ ">
                  <c:v>4.75118806605461</c:v>
                </c:pt>
                <c:pt idx="6" c:formatCode="0.0_ ">
                  <c:v>4.45050845815931</c:v>
                </c:pt>
                <c:pt idx="7" c:formatCode="0.0_ ">
                  <c:v>4.6504441212649</c:v>
                </c:pt>
                <c:pt idx="8" c:formatCode="0.0_ ">
                  <c:v>5.15062929653443</c:v>
                </c:pt>
              </c:numCache>
            </c:numRef>
          </c:val>
          <c:smooth val="0"/>
        </c:ser>
        <c:dLbls>
          <c:showLegendKey val="0"/>
          <c:showVal val="1"/>
          <c:showCatName val="0"/>
          <c:showSerName val="0"/>
          <c:showPercent val="0"/>
          <c:showBubbleSize val="0"/>
        </c:dLbls>
        <c:marker val="1"/>
        <c:smooth val="0"/>
        <c:axId val="210477824"/>
        <c:axId val="210480128"/>
      </c:lineChart>
      <c:catAx>
        <c:axId val="210477824"/>
        <c:scaling>
          <c:orientation val="minMax"/>
        </c:scaling>
        <c:delete val="0"/>
        <c:axPos val="b"/>
        <c:numFmt formatCode="General" sourceLinked="1"/>
        <c:majorTickMark val="none"/>
        <c:minorTickMark val="in"/>
        <c:tickLblPos val="low"/>
        <c:spPr>
          <a:noFill/>
          <a:ln w="6350" cap="flat" cmpd="sng" algn="ctr">
            <a:solidFill>
              <a:schemeClr val="accent1"/>
            </a:solidFill>
            <a:prstDash val="solid"/>
            <a:round/>
          </a:ln>
          <a:effectLst/>
        </c:spPr>
        <c:txPr>
          <a:bodyPr rot="-2700000" spcFirstLastPara="1" vertOverflow="ellipsis" vert="horz" wrap="square" anchor="ctr" anchorCtr="1"/>
          <a:lstStyle/>
          <a:p>
            <a:pPr>
              <a:defRPr lang="zh-CN" sz="800" b="0" i="0" u="none" strike="noStrike" kern="1200" cap="none" spc="0" normalizeH="0" baseline="0">
                <a:solidFill>
                  <a:schemeClr val="tx1"/>
                </a:solidFill>
                <a:uFill>
                  <a:solidFill>
                    <a:schemeClr val="tx1"/>
                  </a:solidFill>
                </a:uFill>
                <a:latin typeface="+mn-lt"/>
                <a:ea typeface="+mn-ea"/>
                <a:cs typeface="+mn-cs"/>
              </a:defRPr>
            </a:pPr>
          </a:p>
        </c:txPr>
        <c:crossAx val="210480128"/>
        <c:crosses val="autoZero"/>
        <c:auto val="1"/>
        <c:lblAlgn val="ctr"/>
        <c:lblOffset val="0"/>
        <c:noMultiLvlLbl val="0"/>
      </c:catAx>
      <c:valAx>
        <c:axId val="210480128"/>
        <c:scaling>
          <c:orientation val="minMax"/>
          <c:max val="15"/>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10477824"/>
        <c:crosses val="autoZero"/>
        <c:crossBetween val="between"/>
        <c:majorUnit val="5"/>
      </c:valAx>
      <c:catAx>
        <c:axId val="250329077"/>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340184441"/>
        <c:crosses val="autoZero"/>
        <c:auto val="1"/>
        <c:lblAlgn val="ctr"/>
        <c:lblOffset val="100"/>
        <c:noMultiLvlLbl val="0"/>
      </c:catAx>
      <c:valAx>
        <c:axId val="340184441"/>
        <c:scaling>
          <c:orientation val="minMax"/>
        </c:scaling>
        <c:delete val="0"/>
        <c:axPos val="r"/>
        <c:numFmt formatCode="0_);[Red]\(0\)" sourceLinked="0"/>
        <c:majorTickMark val="in"/>
        <c:minorTickMark val="none"/>
        <c:tickLblPos val="nextTo"/>
        <c:spPr>
          <a:ln w="9525" cap="flat" cmpd="sng" algn="ctr">
            <a:solidFill>
              <a:schemeClr val="tx1">
                <a:tint val="75000"/>
                <a:shade val="95000"/>
                <a:satMod val="105000"/>
                <a:alpha val="97000"/>
              </a:schemeClr>
            </a:solidFill>
            <a:prstDash val="solid"/>
            <a:round/>
          </a:ln>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50329077"/>
        <c:crosses val="max"/>
        <c:crossBetween val="between"/>
        <c:majorUnit val="5000"/>
        <c:minorUnit val="1000"/>
      </c:valAx>
      <c:spPr>
        <a:solidFill>
          <a:srgbClr val="E6F6FD"/>
        </a:solidFill>
        <a:ln w="25400">
          <a:noFill/>
        </a:ln>
      </c:spPr>
    </c:plotArea>
    <c:legend>
      <c:legendPos val="t"/>
      <c:layout>
        <c:manualLayout>
          <c:xMode val="edge"/>
          <c:yMode val="edge"/>
          <c:x val="0.577629036709909"/>
          <c:y val="0.0260642919200695"/>
        </c:manualLayou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52764055503574"/>
          <c:y val="0.0394957983193277"/>
          <c:w val="0.840363209305213"/>
          <c:h val="0.611792717086835"/>
        </c:manualLayout>
      </c:layout>
      <c:barChart>
        <c:barDir val="col"/>
        <c:grouping val="clustered"/>
        <c:varyColors val="0"/>
        <c:ser>
          <c:idx val="1"/>
          <c:order val="1"/>
          <c:tx>
            <c:strRef>
              <c:f>'1'!$D$17</c:f>
              <c:strCache>
                <c:ptCount val="1"/>
                <c:pt idx="0">
                  <c:v>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'1'!$B$18:$B$26</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'1'!$D$18:$D$26</c:f>
              <c:numCache>
                <c:formatCode>0_ </c:formatCode>
                <c:ptCount val="9"/>
                <c:pt idx="0">
                  <c:v>52.5074301648761</c:v>
                </c:pt>
                <c:pt idx="1" c:formatCode="0_);[Red]\(0\)">
                  <c:v>151.498636520386</c:v>
                </c:pt>
                <c:pt idx="2" c:formatCode="0_);[Red]\(0\)">
                  <c:v>228.612975098499</c:v>
                </c:pt>
                <c:pt idx="3" c:formatCode="0_);[Red]\(0\)">
                  <c:v>347.098172190562</c:v>
                </c:pt>
                <c:pt idx="4" c:formatCode="0_);[Red]\(0\)">
                  <c:v>50.8585508163283</c:v>
                </c:pt>
                <c:pt idx="5" c:formatCode="0_);[Red]\(0\)">
                  <c:v>147.813145577622</c:v>
                </c:pt>
                <c:pt idx="6">
                  <c:v>231.411641822705</c:v>
                </c:pt>
                <c:pt idx="7">
                  <c:v>369.05808297829</c:v>
                </c:pt>
                <c:pt idx="8">
                  <c:v>53.2559247202021</c:v>
                </c:pt>
              </c:numCache>
            </c:numRef>
          </c:val>
        </c:ser>
        <c:dLbls>
          <c:showLegendKey val="0"/>
          <c:showVal val="1"/>
          <c:showCatName val="0"/>
          <c:showSerName val="0"/>
          <c:showPercent val="0"/>
          <c:showBubbleSize val="0"/>
        </c:dLbls>
        <c:gapWidth val="150"/>
        <c:axId val="438876574"/>
        <c:axId val="264063735"/>
      </c:barChart>
      <c:lineChart>
        <c:grouping val="standard"/>
        <c:varyColors val="0"/>
        <c:ser>
          <c:idx val="0"/>
          <c:order val="0"/>
          <c:tx>
            <c:strRef>
              <c:f>'1'!$C$17</c:f>
              <c:strCache>
                <c:ptCount val="1"/>
                <c:pt idx="0">
                  <c:v>增幅</c:v>
                </c:pt>
              </c:strCache>
            </c:strRef>
          </c:tx>
          <c:spPr>
            <a:ln w="19050" cap="rnd" cmpd="sng" algn="ctr">
              <a:solidFill>
                <a:srgbClr val="FF1B09"/>
              </a:solidFill>
              <a:prstDash val="solid"/>
              <a:round/>
            </a:ln>
            <a:effectLst/>
          </c:spPr>
          <c:marker>
            <c:symbol val="circle"/>
            <c:size val="5"/>
            <c:spPr>
              <a:solidFill>
                <a:srgbClr val="FF1B09"/>
              </a:solidFill>
              <a:ln w="9525" cap="flat" cmpd="sng" algn="ctr">
                <a:solidFill>
                  <a:srgbClr val="FFFFFF"/>
                </a:solidFill>
                <a:prstDash val="solid"/>
                <a:round/>
              </a:ln>
            </c:spPr>
          </c:marker>
          <c:dLbls>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'1'!$B$18:$B$26</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'1'!$C$18:$C$26</c:f>
              <c:numCache>
                <c:formatCode>0.0_ </c:formatCode>
                <c:ptCount val="9"/>
                <c:pt idx="0">
                  <c:v>3.1854290452725</c:v>
                </c:pt>
                <c:pt idx="1">
                  <c:v>3.31219519265249</c:v>
                </c:pt>
                <c:pt idx="2">
                  <c:v>3.27609968809788</c:v>
                </c:pt>
                <c:pt idx="3">
                  <c:v>3.70827182530091</c:v>
                </c:pt>
                <c:pt idx="4">
                  <c:v>3.48703270603927</c:v>
                </c:pt>
                <c:pt idx="5">
                  <c:v>3.76821890578338</c:v>
                </c:pt>
                <c:pt idx="6">
                  <c:v>3.62125318029323</c:v>
                </c:pt>
                <c:pt idx="7">
                  <c:v>3.31729502970515</c:v>
                </c:pt>
                <c:pt idx="8">
                  <c:v>2.51550235502658</c:v>
                </c:pt>
              </c:numCache>
            </c:numRef>
          </c:val>
          <c:smooth val="0"/>
        </c:ser>
        <c:dLbls>
          <c:showLegendKey val="0"/>
          <c:showVal val="1"/>
          <c:showCatName val="0"/>
          <c:showSerName val="0"/>
          <c:showPercent val="0"/>
          <c:showBubbleSize val="0"/>
        </c:dLbls>
        <c:marker val="1"/>
        <c:smooth val="0"/>
        <c:axId val="223881088"/>
        <c:axId val="47001600"/>
      </c:lineChart>
      <c:catAx>
        <c:axId val="223881088"/>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7001600"/>
        <c:crosses val="autoZero"/>
        <c:auto val="1"/>
        <c:lblAlgn val="ctr"/>
        <c:lblOffset val="10"/>
        <c:noMultiLvlLbl val="0"/>
      </c:catAx>
      <c:valAx>
        <c:axId val="47001600"/>
        <c:scaling>
          <c:orientation val="minMax"/>
          <c:max val="6"/>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23881088"/>
        <c:crosses val="autoZero"/>
        <c:crossBetween val="between"/>
        <c:majorUnit val="1"/>
      </c:valAx>
      <c:catAx>
        <c:axId val="438876574"/>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64063735"/>
        <c:crosses val="autoZero"/>
        <c:auto val="1"/>
        <c:lblAlgn val="ctr"/>
        <c:lblOffset val="100"/>
        <c:noMultiLvlLbl val="0"/>
      </c:catAx>
      <c:valAx>
        <c:axId val="264063735"/>
        <c:scaling>
          <c:orientation val="minMax"/>
        </c:scaling>
        <c:delete val="0"/>
        <c:axPos val="r"/>
        <c:numFmt formatCode="0_ "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38876574"/>
        <c:crosses val="max"/>
        <c:crossBetween val="between"/>
        <c:majorUnit val="100"/>
      </c:valAx>
      <c:spPr>
        <a:solidFill>
          <a:srgbClr val="E6F6FD"/>
        </a:solidFill>
        <a:ln w="25400">
          <a:noFill/>
        </a:ln>
      </c:spPr>
    </c:plotArea>
    <c:legend>
      <c:legendPos val="t"/>
      <c:layout>
        <c:manualLayout>
          <c:xMode val="edge"/>
          <c:yMode val="edge"/>
          <c:x val="0.670220082530949"/>
          <c:y val="0.00840336134453781"/>
        </c:manualLayou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4606741573034"/>
          <c:y val="0.0797872340425723"/>
          <c:w val="0.878651685393301"/>
          <c:h val="0.592095405550035"/>
        </c:manualLayout>
      </c:layout>
      <c:barChart>
        <c:barDir val="col"/>
        <c:grouping val="clustered"/>
        <c:varyColors val="0"/>
        <c:ser>
          <c:idx val="1"/>
          <c:order val="1"/>
          <c:tx>
            <c:strRef>
              <c:f>'2'!$D$1</c:f>
              <c:strCache>
                <c:ptCount val="1"/>
                <c:pt idx="0">
                  <c:v>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'2'!$B$2:$B$10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'2'!$D$2:$D$10</c:f>
              <c:numCache>
                <c:formatCode>0_ </c:formatCode>
                <c:ptCount val="9"/>
                <c:pt idx="0">
                  <c:v>1268.15096444352</c:v>
                </c:pt>
                <c:pt idx="1" c:formatCode="0_);[Red]\(0\)">
                  <c:v>2702.51424369364</c:v>
                </c:pt>
                <c:pt idx="2" c:formatCode="0_);[Red]\(0\)">
                  <c:v>4118.97779577421</c:v>
                </c:pt>
                <c:pt idx="3" c:formatCode="0_);[Red]\(0\)">
                  <c:v>5666.88259331788</c:v>
                </c:pt>
                <c:pt idx="4" c:formatCode="0_);[Red]\(0\)">
                  <c:v>1299.37501831308</c:v>
                </c:pt>
                <c:pt idx="5" c:formatCode="0_);[Red]\(0\)">
                  <c:v>2706.37806373329</c:v>
                </c:pt>
                <c:pt idx="6">
                  <c:v>4212.10927860147</c:v>
                </c:pt>
                <c:pt idx="7">
                  <c:v>5528.78921291067</c:v>
                </c:pt>
                <c:pt idx="8">
                  <c:v>1291.08126863558</c:v>
                </c:pt>
              </c:numCache>
            </c:numRef>
          </c:val>
        </c:ser>
        <c:dLbls>
          <c:showLegendKey val="0"/>
          <c:showVal val="1"/>
          <c:showCatName val="0"/>
          <c:showSerName val="0"/>
          <c:showPercent val="0"/>
          <c:showBubbleSize val="0"/>
        </c:dLbls>
        <c:gapWidth val="150"/>
        <c:axId val="944836902"/>
        <c:axId val="645824413"/>
      </c:barChart>
      <c:lineChart>
        <c:grouping val="standard"/>
        <c:varyColors val="0"/>
        <c:ser>
          <c:idx val="0"/>
          <c:order val="0"/>
          <c:tx>
            <c:strRef>
              <c:f>'2'!$C$1</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5"/>
              <c:layout>
                <c:manualLayout>
                  <c:x val="-0.0446817069214664"/>
                  <c:y val="-0.05766990291262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536704709664101"/>
                  <c:y val="-0.064142394822007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'2'!$B$2:$B$10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'2'!$C$2:$C$10</c:f>
              <c:numCache>
                <c:formatCode>0.0_ </c:formatCode>
                <c:ptCount val="9"/>
                <c:pt idx="0">
                  <c:v>-1.52772919452722</c:v>
                </c:pt>
                <c:pt idx="1">
                  <c:v>1.34303093450443</c:v>
                </c:pt>
                <c:pt idx="2">
                  <c:v>1.1228159486359</c:v>
                </c:pt>
                <c:pt idx="3">
                  <c:v>1.8474403766189</c:v>
                </c:pt>
                <c:pt idx="4">
                  <c:v>3.2458545529267</c:v>
                </c:pt>
                <c:pt idx="5">
                  <c:v>4.0369673608069</c:v>
                </c:pt>
                <c:pt idx="6">
                  <c:v>4.09768578801764</c:v>
                </c:pt>
                <c:pt idx="7">
                  <c:v>3.75762743832853</c:v>
                </c:pt>
                <c:pt idx="8">
                  <c:v>5.83316553456878</c:v>
                </c:pt>
              </c:numCache>
            </c:numRef>
          </c:val>
          <c:smooth val="0"/>
        </c:ser>
        <c:dLbls>
          <c:showLegendKey val="0"/>
          <c:showVal val="1"/>
          <c:showCatName val="0"/>
          <c:showSerName val="0"/>
          <c:showPercent val="0"/>
          <c:showBubbleSize val="0"/>
        </c:dLbls>
        <c:marker val="1"/>
        <c:smooth val="0"/>
        <c:axId val="47075328"/>
        <c:axId val="47077248"/>
      </c:lineChart>
      <c:catAx>
        <c:axId val="47075328"/>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7077248"/>
        <c:crosses val="autoZero"/>
        <c:auto val="1"/>
        <c:lblAlgn val="ctr"/>
        <c:lblOffset val="100"/>
        <c:noMultiLvlLbl val="0"/>
      </c:catAx>
      <c:valAx>
        <c:axId val="47077248"/>
        <c:scaling>
          <c:orientation val="minMax"/>
          <c:max val="8"/>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7075328"/>
        <c:crosses val="autoZero"/>
        <c:crossBetween val="between"/>
        <c:majorUnit val="6"/>
      </c:valAx>
      <c:catAx>
        <c:axId val="944836902"/>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645824413"/>
        <c:crosses val="autoZero"/>
        <c:auto val="1"/>
        <c:lblAlgn val="ctr"/>
        <c:lblOffset val="100"/>
        <c:noMultiLvlLbl val="0"/>
      </c:catAx>
      <c:valAx>
        <c:axId val="645824413"/>
        <c:scaling>
          <c:orientation val="minMax"/>
        </c:scaling>
        <c:delete val="0"/>
        <c:axPos val="r"/>
        <c:numFmt formatCode="0_ "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944836902"/>
        <c:crosses val="max"/>
        <c:crossBetween val="between"/>
        <c:majorUnit val="2000"/>
      </c:valAx>
      <c:spPr>
        <a:solidFill>
          <a:srgbClr val="E6F6FD"/>
        </a:solidFill>
        <a:ln w="25400">
          <a:noFill/>
        </a:ln>
      </c:spPr>
    </c:plotArea>
    <c:legend>
      <c:legendPos val="t"/>
      <c:layout>
        <c:manualLayout>
          <c:xMode val="edge"/>
          <c:yMode val="edge"/>
          <c:x val="0.552613480055021"/>
          <c:y val="0.00899011087803416"/>
        </c:manualLayou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89338731443998"/>
          <c:y val="0.0447894893998209"/>
          <c:w val="0.863292847503376"/>
          <c:h val="0.62251418333831"/>
        </c:manualLayout>
      </c:layout>
      <c:barChart>
        <c:barDir val="col"/>
        <c:grouping val="clustered"/>
        <c:varyColors val="0"/>
        <c:ser>
          <c:idx val="1"/>
          <c:order val="1"/>
          <c:tx>
            <c:strRef>
              <c:f>'2'!$D$16</c:f>
              <c:strCache>
                <c:ptCount val="1"/>
                <c:pt idx="0">
                  <c:v>总量</c:v>
                </c:pt>
              </c:strCache>
            </c:strRef>
          </c:tx>
          <c:spPr>
            <a:solidFill>
              <a:srgbClr val="9EDBDB"/>
            </a:solidFill>
            <a:ln w="28575" cap="rnd" cmpd="sng" algn="ctr">
              <a:noFill/>
              <a:prstDash val="solid"/>
              <a:round/>
            </a:ln>
            <a:effectLst/>
          </c:spPr>
          <c:invertIfNegative val="0"/>
          <c:dLbls>
            <c:dLbl>
              <c:idx val="3"/>
              <c:layout>
                <c:manualLayout>
                  <c:x val="0.00404858299595142"/>
                  <c:y val="0.0179157957599283"/>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'2'!$B$17:$B$25</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'2'!$D$17:$D$25</c:f>
              <c:numCache>
                <c:formatCode>0_ </c:formatCode>
                <c:ptCount val="9"/>
                <c:pt idx="0">
                  <c:v>3402.31018881457</c:v>
                </c:pt>
                <c:pt idx="1" c:formatCode="0_);[Red]\(0\)">
                  <c:v>6747.51994401026</c:v>
                </c:pt>
                <c:pt idx="2" c:formatCode="0_);[Red]\(0\)">
                  <c:v>10089.9104747588</c:v>
                </c:pt>
                <c:pt idx="3" c:formatCode="0_);[Red]\(0\)">
                  <c:v>14044.997974588</c:v>
                </c:pt>
                <c:pt idx="4" c:formatCode="0_);[Red]\(0\)">
                  <c:v>3761.66464691302</c:v>
                </c:pt>
                <c:pt idx="5" c:formatCode="0_);[Red]\(0\)">
                  <c:v>7282.86150572912</c:v>
                </c:pt>
                <c:pt idx="6">
                  <c:v>10771.8086416288</c:v>
                </c:pt>
                <c:pt idx="7">
                  <c:v>15962.4682738895</c:v>
                </c:pt>
                <c:pt idx="8">
                  <c:v>4371.09422411205</c:v>
                </c:pt>
              </c:numCache>
            </c:numRef>
          </c:val>
        </c:ser>
        <c:dLbls>
          <c:showLegendKey val="0"/>
          <c:showVal val="1"/>
          <c:showCatName val="0"/>
          <c:showSerName val="0"/>
          <c:showPercent val="0"/>
          <c:showBubbleSize val="0"/>
        </c:dLbls>
        <c:gapWidth val="150"/>
        <c:axId val="26624329"/>
        <c:axId val="87971312"/>
      </c:barChart>
      <c:lineChart>
        <c:grouping val="standard"/>
        <c:varyColors val="0"/>
        <c:ser>
          <c:idx val="0"/>
          <c:order val="0"/>
          <c:tx>
            <c:strRef>
              <c:f>'2'!$C$16</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34412955465587"/>
                  <c:y val="0.116452672439534"/>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22672064777328"/>
                  <c:y val="0.00895789787996464"/>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0202429149797571"/>
                  <c:y val="-0.0089578978799645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61943319838057"/>
                  <c:y val="0.013436846819946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202429149797571"/>
                  <c:y val="0.179157957599284"/>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393374891790239"/>
                  <c:y val="-0.07889379531586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347929027072086"/>
                  <c:y val="-0.063278724609718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0374445346798028"/>
                  <c:y val="0.013397435897436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'2'!$B$17:$B$25</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'2'!$C$17:$C$25</c:f>
              <c:numCache>
                <c:formatCode>0.0_ </c:formatCode>
                <c:ptCount val="9"/>
                <c:pt idx="0">
                  <c:v>6.9380800258352</c:v>
                </c:pt>
                <c:pt idx="1">
                  <c:v>9.33217375404629</c:v>
                </c:pt>
                <c:pt idx="2">
                  <c:v>7.79928032016639</c:v>
                </c:pt>
                <c:pt idx="3">
                  <c:v>7.18502135690122</c:v>
                </c:pt>
                <c:pt idx="4">
                  <c:v>5.73512496201463</c:v>
                </c:pt>
                <c:pt idx="5">
                  <c:v>5.04942171814375</c:v>
                </c:pt>
                <c:pt idx="6">
                  <c:v>4.60958876732522</c:v>
                </c:pt>
                <c:pt idx="7">
                  <c:v>4.99523425051864</c:v>
                </c:pt>
                <c:pt idx="8">
                  <c:v>4.97988317918643</c:v>
                </c:pt>
              </c:numCache>
            </c:numRef>
          </c:val>
          <c:smooth val="0"/>
        </c:ser>
        <c:dLbls>
          <c:showLegendKey val="0"/>
          <c:showVal val="1"/>
          <c:showCatName val="0"/>
          <c:showSerName val="0"/>
          <c:showPercent val="0"/>
          <c:showBubbleSize val="0"/>
        </c:dLbls>
        <c:marker val="1"/>
        <c:smooth val="0"/>
        <c:axId val="47101824"/>
        <c:axId val="47116288"/>
      </c:lineChart>
      <c:catAx>
        <c:axId val="47101824"/>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47116288"/>
        <c:crosses val="autoZero"/>
        <c:auto val="1"/>
        <c:lblAlgn val="ctr"/>
        <c:lblOffset val="100"/>
        <c:noMultiLvlLbl val="0"/>
      </c:catAx>
      <c:valAx>
        <c:axId val="47116288"/>
        <c:scaling>
          <c:orientation val="minMax"/>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47101824"/>
        <c:crosses val="autoZero"/>
        <c:crossBetween val="between"/>
        <c:majorUnit val="5"/>
      </c:valAx>
      <c:catAx>
        <c:axId val="26624329"/>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87971312"/>
        <c:crosses val="autoZero"/>
        <c:auto val="1"/>
        <c:lblAlgn val="ctr"/>
        <c:lblOffset val="100"/>
        <c:noMultiLvlLbl val="0"/>
      </c:catAx>
      <c:valAx>
        <c:axId val="87971312"/>
        <c:scaling>
          <c:orientation val="minMax"/>
        </c:scaling>
        <c:delete val="0"/>
        <c:axPos val="r"/>
        <c:numFmt formatCode="0_ " sourceLinked="1"/>
        <c:majorTickMark val="in"/>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26624329"/>
        <c:crosses val="max"/>
        <c:crossBetween val="between"/>
        <c:majorUnit val="4000"/>
      </c:valAx>
      <c:spPr>
        <a:solidFill>
          <a:srgbClr val="E6F6FD"/>
        </a:solidFill>
        <a:ln w="25400">
          <a:noFill/>
        </a:ln>
      </c:spPr>
    </c:plotArea>
    <c:legend>
      <c:legendPos val="t"/>
      <c:layout>
        <c:manualLayout>
          <c:xMode val="edge"/>
          <c:yMode val="edge"/>
          <c:x val="0.642172739541161"/>
          <c:y val="0.0268736936398925"/>
        </c:manualLayout>
      </c:layout>
      <c:overlay val="0"/>
      <c:txPr>
        <a:bodyPr rot="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69" normalizeH="0">
          <a:solidFill>
            <a:schemeClr val="tx1"/>
          </a:solidFill>
          <a:uFill>
            <a:solidFill>
              <a:schemeClr val="tx1"/>
            </a:solidFill>
          </a:uFill>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4606741573034"/>
          <c:y val="0.0797872340425723"/>
          <c:w val="0.878651685393301"/>
          <c:h val="0.592095405550035"/>
        </c:manualLayout>
      </c:layout>
      <c:barChart>
        <c:barDir val="col"/>
        <c:grouping val="clustered"/>
        <c:varyColors val="0"/>
        <c:ser>
          <c:idx val="1"/>
          <c:order val="1"/>
          <c:tx>
            <c:strRef>
              <c:f>'3'!$D$1</c:f>
              <c:strCache>
                <c:ptCount val="1"/>
                <c:pt idx="0">
                  <c:v>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'3'!$B$2:$B$10</c:f>
              <c:strCache>
                <c:ptCount val="9"/>
                <c:pt idx="0">
                  <c:v>2022年全年</c:v>
                </c:pt>
                <c:pt idx="1">
                  <c:v>2023年1季度</c:v>
                </c:pt>
                <c:pt idx="2">
                  <c:v>上半年</c:v>
                </c:pt>
                <c:pt idx="3">
                  <c:v>前三季度</c:v>
                </c:pt>
                <c:pt idx="4">
                  <c:v>全年</c:v>
                </c:pt>
                <c:pt idx="5">
                  <c:v>2024年1季度</c:v>
                </c:pt>
                <c:pt idx="6">
                  <c:v>上半年</c:v>
                </c:pt>
                <c:pt idx="7">
                  <c:v>前三季度</c:v>
                </c:pt>
                <c:pt idx="8">
                  <c:v>全年</c:v>
                </c:pt>
              </c:strCache>
            </c:strRef>
          </c:cat>
          <c:val>
            <c:numRef>
              <c:f>'3'!$D$2:$D$10</c:f>
              <c:numCache>
                <c:formatCode>General</c:formatCode>
                <c:ptCount val="9"/>
                <c:pt idx="0">
                  <c:v>5076</c:v>
                </c:pt>
                <c:pt idx="1">
                  <c:v>1275</c:v>
                </c:pt>
                <c:pt idx="2" c:formatCode="0_ ">
                  <c:v>2663.16126</c:v>
                </c:pt>
                <c:pt idx="3" c:formatCode="0_ ">
                  <c:v>4115.1</c:v>
                </c:pt>
                <c:pt idx="4" c:formatCode="0_ ">
                  <c:v>5674.68403676175</c:v>
                </c:pt>
                <c:pt idx="5" c:formatCode="0_ ">
                  <c:v>1418.22814578</c:v>
                </c:pt>
                <c:pt idx="6" c:formatCode="0_ ">
                  <c:v>2876</c:v>
                </c:pt>
                <c:pt idx="7" c:formatCode="0_ ">
                  <c:v>4424.96</c:v>
                </c:pt>
                <c:pt idx="8" c:formatCode="0_ ">
                  <c:v>6305</c:v>
                </c:pt>
              </c:numCache>
            </c:numRef>
          </c:val>
        </c:ser>
        <c:dLbls>
          <c:showLegendKey val="0"/>
          <c:showVal val="1"/>
          <c:showCatName val="0"/>
          <c:showSerName val="0"/>
          <c:showPercent val="0"/>
          <c:showBubbleSize val="0"/>
        </c:dLbls>
        <c:gapWidth val="150"/>
        <c:axId val="944836902"/>
        <c:axId val="645824413"/>
      </c:barChart>
      <c:lineChart>
        <c:grouping val="standard"/>
        <c:varyColors val="0"/>
        <c:ser>
          <c:idx val="0"/>
          <c:order val="0"/>
          <c:tx>
            <c:strRef>
              <c:f>'3'!$C$1</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5"/>
              <c:layout>
                <c:manualLayout>
                  <c:x val="-0.0446817069214664"/>
                  <c:y val="-0.05766990291262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536704709664101"/>
                  <c:y val="-0.064142394822007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'3'!$B$2:$B$10</c:f>
              <c:strCache>
                <c:ptCount val="9"/>
                <c:pt idx="0">
                  <c:v>2022年全年</c:v>
                </c:pt>
                <c:pt idx="1">
                  <c:v>2023年1季度</c:v>
                </c:pt>
                <c:pt idx="2">
                  <c:v>上半年</c:v>
                </c:pt>
                <c:pt idx="3">
                  <c:v>前三季度</c:v>
                </c:pt>
                <c:pt idx="4">
                  <c:v>全年</c:v>
                </c:pt>
                <c:pt idx="5">
                  <c:v>2024年1季度</c:v>
                </c:pt>
                <c:pt idx="6">
                  <c:v>上半年</c:v>
                </c:pt>
                <c:pt idx="7">
                  <c:v>前三季度</c:v>
                </c:pt>
                <c:pt idx="8">
                  <c:v>全年</c:v>
                </c:pt>
              </c:strCache>
            </c:strRef>
          </c:cat>
          <c:val>
            <c:numRef>
              <c:f>'3'!$C$2:$C$10</c:f>
              <c:numCache>
                <c:formatCode>0.0_ </c:formatCode>
                <c:ptCount val="9"/>
                <c:pt idx="0">
                  <c:v>2.76879722270307</c:v>
                </c:pt>
                <c:pt idx="1">
                  <c:v>6</c:v>
                </c:pt>
                <c:pt idx="2">
                  <c:v>8.95329289482092</c:v>
                </c:pt>
                <c:pt idx="3">
                  <c:v>8.8</c:v>
                </c:pt>
                <c:pt idx="4">
                  <c:v>8.50738622920822</c:v>
                </c:pt>
                <c:pt idx="5">
                  <c:v>11.004777197834</c:v>
                </c:pt>
                <c:pt idx="6">
                  <c:v>7.56762129951329</c:v>
                </c:pt>
                <c:pt idx="7">
                  <c:v>6.5</c:v>
                </c:pt>
                <c:pt idx="8">
                  <c:v>7.1</c:v>
                </c:pt>
              </c:numCache>
            </c:numRef>
          </c:val>
          <c:smooth val="0"/>
        </c:ser>
        <c:dLbls>
          <c:showLegendKey val="0"/>
          <c:showVal val="1"/>
          <c:showCatName val="0"/>
          <c:showSerName val="0"/>
          <c:showPercent val="0"/>
          <c:showBubbleSize val="0"/>
        </c:dLbls>
        <c:marker val="1"/>
        <c:smooth val="0"/>
        <c:axId val="47075328"/>
        <c:axId val="47077248"/>
      </c:lineChart>
      <c:catAx>
        <c:axId val="47075328"/>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7077248"/>
        <c:crosses val="autoZero"/>
        <c:auto val="1"/>
        <c:lblAlgn val="ctr"/>
        <c:lblOffset val="100"/>
        <c:noMultiLvlLbl val="0"/>
      </c:catAx>
      <c:valAx>
        <c:axId val="47077248"/>
        <c:scaling>
          <c:orientation val="minMax"/>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47075328"/>
        <c:crosses val="autoZero"/>
        <c:crossBetween val="between"/>
        <c:majorUnit val="6"/>
      </c:valAx>
      <c:catAx>
        <c:axId val="944836902"/>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645824413"/>
        <c:crosses val="autoZero"/>
        <c:auto val="1"/>
        <c:lblAlgn val="ctr"/>
        <c:lblOffset val="100"/>
        <c:noMultiLvlLbl val="0"/>
      </c:catAx>
      <c:valAx>
        <c:axId val="645824413"/>
        <c:scaling>
          <c:orientation val="minMax"/>
        </c:scaling>
        <c:delete val="0"/>
        <c:axPos val="r"/>
        <c:numFmt formatCode="General"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944836902"/>
        <c:crosses val="max"/>
        <c:crossBetween val="between"/>
        <c:majorUnit val="2000"/>
      </c:valAx>
      <c:spPr>
        <a:solidFill>
          <a:srgbClr val="E6F6FD"/>
        </a:solidFill>
        <a:ln w="25400">
          <a:noFill/>
        </a:ln>
      </c:spPr>
    </c:plotArea>
    <c:legend>
      <c:legendPos val="t"/>
      <c:layout>
        <c:manualLayout>
          <c:xMode val="edge"/>
          <c:yMode val="edge"/>
          <c:x val="0.628954607977992"/>
          <c:y val="0.00899011087803416"/>
        </c:manualLayou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89338731443998"/>
          <c:y val="0.0447894893998209"/>
          <c:w val="0.863292847503376"/>
          <c:h val="0.62251418333831"/>
        </c:manualLayout>
      </c:layout>
      <c:barChart>
        <c:barDir val="col"/>
        <c:grouping val="clustered"/>
        <c:varyColors val="0"/>
        <c:ser>
          <c:idx val="1"/>
          <c:order val="1"/>
          <c:tx>
            <c:strRef>
              <c:f>'3'!$D$16</c:f>
              <c:strCache>
                <c:ptCount val="1"/>
                <c:pt idx="0">
                  <c:v>总量</c:v>
                </c:pt>
              </c:strCache>
            </c:strRef>
          </c:tx>
          <c:spPr>
            <a:solidFill>
              <a:srgbClr val="9EDBDB"/>
            </a:solidFill>
            <a:ln w="28575" cap="rnd" cmpd="sng" algn="ctr">
              <a:noFill/>
              <a:prstDash val="solid"/>
              <a:round/>
            </a:ln>
            <a:effectLst/>
          </c:spPr>
          <c:invertIfNegative val="0"/>
          <c:dLbls>
            <c:dLbl>
              <c:idx val="3"/>
              <c:layout>
                <c:manualLayout>
                  <c:x val="0.00404858299595142"/>
                  <c:y val="0.0179157957599283"/>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'3'!$B$17:$B$28</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'3'!$D$17:$D$28</c:f>
              <c:numCache>
                <c:formatCode>0_ </c:formatCode>
                <c:ptCount val="12"/>
                <c:pt idx="0">
                  <c:v>255.10669</c:v>
                </c:pt>
                <c:pt idx="1">
                  <c:v>350.94847</c:v>
                </c:pt>
                <c:pt idx="2">
                  <c:v>452.55781</c:v>
                </c:pt>
                <c:pt idx="3">
                  <c:v>586.18027</c:v>
                </c:pt>
                <c:pt idx="4">
                  <c:v>677.00059</c:v>
                </c:pt>
                <c:pt idx="5">
                  <c:v>789.16016</c:v>
                </c:pt>
                <c:pt idx="6">
                  <c:v>917.4</c:v>
                </c:pt>
                <c:pt idx="7">
                  <c:v>1019.34507</c:v>
                </c:pt>
                <c:pt idx="8">
                  <c:v>1136.32024</c:v>
                </c:pt>
                <c:pt idx="9">
                  <c:v>1268.72896</c:v>
                </c:pt>
                <c:pt idx="10">
                  <c:v>156.49777</c:v>
                </c:pt>
                <c:pt idx="11">
                  <c:v>284.91889</c:v>
                </c:pt>
              </c:numCache>
            </c:numRef>
          </c:val>
        </c:ser>
        <c:dLbls>
          <c:showLegendKey val="0"/>
          <c:showVal val="1"/>
          <c:showCatName val="0"/>
          <c:showSerName val="0"/>
          <c:showPercent val="0"/>
          <c:showBubbleSize val="0"/>
        </c:dLbls>
        <c:gapWidth val="150"/>
        <c:axId val="26624329"/>
        <c:axId val="87971312"/>
      </c:barChart>
      <c:lineChart>
        <c:grouping val="standard"/>
        <c:varyColors val="0"/>
        <c:ser>
          <c:idx val="0"/>
          <c:order val="0"/>
          <c:tx>
            <c:strRef>
              <c:f>'3'!$C$16</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3.83558831719352e-17"/>
                  <c:y val="0.017915795759928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22672064777328"/>
                  <c:y val="0.00895789787996464"/>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0202429149797571"/>
                  <c:y val="-0.0089578978799645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61943319838057"/>
                  <c:y val="0.013436846819946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202429149797571"/>
                  <c:y val="0.02239474469991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393374891790239"/>
                  <c:y val="-0.07889379531586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347929027072086"/>
                  <c:y val="-0.063278724609718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22059919295188"/>
                  <c:y val="-0.085139440782169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'3'!$B$17:$B$28</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'3'!$C$17:$C$28</c:f>
              <c:numCache>
                <c:formatCode>0.0_ </c:formatCode>
                <c:ptCount val="12"/>
                <c:pt idx="0">
                  <c:v>3.53</c:v>
                </c:pt>
                <c:pt idx="1">
                  <c:v>5.64</c:v>
                </c:pt>
                <c:pt idx="2">
                  <c:v>5.7</c:v>
                </c:pt>
                <c:pt idx="3">
                  <c:v>5.7</c:v>
                </c:pt>
                <c:pt idx="4">
                  <c:v>5.1</c:v>
                </c:pt>
                <c:pt idx="5">
                  <c:v>4.59</c:v>
                </c:pt>
                <c:pt idx="6">
                  <c:v>4.8</c:v>
                </c:pt>
                <c:pt idx="7">
                  <c:v>4.8</c:v>
                </c:pt>
                <c:pt idx="8">
                  <c:v>4.8</c:v>
                </c:pt>
                <c:pt idx="9">
                  <c:v>5.2</c:v>
                </c:pt>
                <c:pt idx="10">
                  <c:v>16</c:v>
                </c:pt>
                <c:pt idx="11">
                  <c:v>14.7</c:v>
                </c:pt>
              </c:numCache>
            </c:numRef>
          </c:val>
          <c:smooth val="0"/>
        </c:ser>
        <c:dLbls>
          <c:showLegendKey val="0"/>
          <c:showVal val="1"/>
          <c:showCatName val="0"/>
          <c:showSerName val="0"/>
          <c:showPercent val="0"/>
          <c:showBubbleSize val="0"/>
        </c:dLbls>
        <c:marker val="1"/>
        <c:smooth val="0"/>
        <c:axId val="47101824"/>
        <c:axId val="47116288"/>
      </c:lineChart>
      <c:catAx>
        <c:axId val="47101824"/>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47116288"/>
        <c:crosses val="autoZero"/>
        <c:auto val="1"/>
        <c:lblAlgn val="ctr"/>
        <c:lblOffset val="100"/>
        <c:noMultiLvlLbl val="0"/>
      </c:catAx>
      <c:valAx>
        <c:axId val="47116288"/>
        <c:scaling>
          <c:orientation val="minMax"/>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47101824"/>
        <c:crosses val="autoZero"/>
        <c:crossBetween val="between"/>
        <c:majorUnit val="3"/>
      </c:valAx>
      <c:catAx>
        <c:axId val="26624329"/>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87971312"/>
        <c:crosses val="autoZero"/>
        <c:auto val="1"/>
        <c:lblAlgn val="ctr"/>
        <c:lblOffset val="100"/>
        <c:noMultiLvlLbl val="0"/>
      </c:catAx>
      <c:valAx>
        <c:axId val="87971312"/>
        <c:scaling>
          <c:orientation val="minMax"/>
          <c:max val="2000"/>
        </c:scaling>
        <c:delete val="0"/>
        <c:axPos val="r"/>
        <c:numFmt formatCode="0_ " sourceLinked="1"/>
        <c:majorTickMark val="in"/>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26624329"/>
        <c:crosses val="max"/>
        <c:crossBetween val="between"/>
        <c:majorUnit val="500"/>
      </c:valAx>
      <c:spPr>
        <a:solidFill>
          <a:srgbClr val="E6F6FD"/>
        </a:solidFill>
        <a:ln w="25400">
          <a:noFill/>
        </a:ln>
      </c:spPr>
    </c:plotArea>
    <c:legend>
      <c:legendPos val="t"/>
      <c:layout>
        <c:manualLayout>
          <c:xMode val="edge"/>
          <c:yMode val="edge"/>
          <c:x val="0.464035087719299"/>
          <c:y val="0.00895789787996417"/>
        </c:manualLayout>
      </c:layout>
      <c:overlay val="0"/>
      <c:txPr>
        <a:bodyPr rot="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69" normalizeH="0">
          <a:solidFill>
            <a:schemeClr val="tx1"/>
          </a:solidFill>
          <a:uFill>
            <a:solidFill>
              <a:schemeClr val="tx1"/>
            </a:solidFill>
          </a:uFill>
        </a:defRPr>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89338731443995"/>
          <c:y val="0.0447894893998208"/>
          <c:w val="0.878947368421053"/>
          <c:h val="0.626993132278292"/>
        </c:manualLayout>
      </c:layout>
      <c:barChart>
        <c:barDir val="col"/>
        <c:grouping val="clustered"/>
        <c:varyColors val="0"/>
        <c:ser>
          <c:idx val="2"/>
          <c:order val="2"/>
          <c:tx>
            <c:strRef>
              <c:f>'4'!$E$1</c:f>
              <c:strCache>
                <c:ptCount val="1"/>
                <c:pt idx="0">
                  <c:v>累计总量</c:v>
                </c:pt>
              </c:strCache>
            </c:strRef>
          </c:tx>
          <c:spPr>
            <a:solidFill>
              <a:srgbClr val="9EDBDB"/>
            </a:solidFill>
          </c:spPr>
          <c:invertIfNegative val="0"/>
          <c:dLbls>
            <c:delete val="1"/>
          </c:dLbls>
          <c:cat>
            <c:strRef>
              <c:f>'4'!$B$2:$B$13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'4'!$E$2:$E$13</c:f>
              <c:numCache>
                <c:formatCode>0_ </c:formatCode>
                <c:ptCount val="12"/>
                <c:pt idx="0">
                  <c:v>1013.41761</c:v>
                </c:pt>
                <c:pt idx="1">
                  <c:v>1361.429989117</c:v>
                </c:pt>
                <c:pt idx="2">
                  <c:v>1718.25557</c:v>
                </c:pt>
                <c:pt idx="3">
                  <c:v>2124.11701</c:v>
                </c:pt>
                <c:pt idx="4">
                  <c:v>2465.6</c:v>
                </c:pt>
                <c:pt idx="5">
                  <c:v>2841.36451</c:v>
                </c:pt>
                <c:pt idx="6">
                  <c:v>3252.31148</c:v>
                </c:pt>
                <c:pt idx="7">
                  <c:v>3597.57547</c:v>
                </c:pt>
                <c:pt idx="8">
                  <c:v>3984.7</c:v>
                </c:pt>
                <c:pt idx="9">
                  <c:v>4409.07316</c:v>
                </c:pt>
                <c:pt idx="10">
                  <c:v>658.29427235</c:v>
                </c:pt>
                <c:pt idx="11">
                  <c:v>1073.171983088</c:v>
                </c:pt>
              </c:numCache>
            </c:numRef>
          </c:val>
        </c:ser>
        <c:dLbls>
          <c:showLegendKey val="0"/>
          <c:showVal val="0"/>
          <c:showCatName val="0"/>
          <c:showSerName val="0"/>
          <c:showPercent val="0"/>
          <c:showBubbleSize val="0"/>
        </c:dLbls>
        <c:gapWidth val="150"/>
        <c:overlap val="0"/>
        <c:axId val="74473472"/>
        <c:axId val="74475008"/>
      </c:barChart>
      <c:lineChart>
        <c:grouping val="standard"/>
        <c:varyColors val="0"/>
        <c:ser>
          <c:idx val="1"/>
          <c:order val="0"/>
          <c:tx>
            <c:strRef>
              <c:f>'4'!$C$1</c:f>
              <c:strCache>
                <c:ptCount val="1"/>
                <c:pt idx="0">
                  <c:v>当月增幅</c:v>
                </c:pt>
              </c:strCache>
            </c:strRef>
          </c:tx>
          <c:spPr>
            <a:ln w="28575" cap="rnd" cmpd="sng" algn="ctr">
              <a:solidFill>
                <a:schemeClr val="accent2"/>
              </a:solidFill>
              <a:prstDash val="sysDot"/>
              <a:round/>
            </a:ln>
            <a:effectLst/>
          </c:spPr>
          <c:marker>
            <c:symbol val="circle"/>
            <c:size val="5"/>
            <c:spPr>
              <a:solidFill>
                <a:schemeClr val="accent2"/>
              </a:solidFill>
              <a:ln w="9525" cap="flat" cmpd="sng" algn="ctr">
                <a:solidFill>
                  <a:schemeClr val="accent2"/>
                </a:solidFill>
                <a:prstDash val="solid"/>
                <a:round/>
              </a:ln>
              <a:effectLst/>
            </c:spPr>
          </c:marker>
          <c:dLbls>
            <c:delete val="1"/>
          </c:dLbls>
          <c:cat>
            <c:strRef>
              <c:f>'4'!$B$2:$B$13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'4'!$C$2:$C$13</c:f>
              <c:numCache>
                <c:formatCode>0.0_ </c:formatCode>
                <c:ptCount val="12"/>
                <c:pt idx="0">
                  <c:v>-3.192</c:v>
                </c:pt>
                <c:pt idx="1">
                  <c:v>7.46918885878254</c:v>
                </c:pt>
                <c:pt idx="2">
                  <c:v>3.31415</c:v>
                </c:pt>
                <c:pt idx="3">
                  <c:v>1.053</c:v>
                </c:pt>
                <c:pt idx="4">
                  <c:v>3.67443</c:v>
                </c:pt>
                <c:pt idx="5">
                  <c:v>2.1</c:v>
                </c:pt>
                <c:pt idx="6">
                  <c:v>5.7</c:v>
                </c:pt>
                <c:pt idx="7">
                  <c:v>0.2</c:v>
                </c:pt>
                <c:pt idx="8">
                  <c:v>4</c:v>
                </c:pt>
                <c:pt idx="9">
                  <c:v>4.4</c:v>
                </c:pt>
                <c:pt idx="10">
                  <c:v>34</c:v>
                </c:pt>
                <c:pt idx="11">
                  <c:v>9</c:v>
                </c:pt>
              </c:numCache>
            </c:numRef>
          </c:val>
          <c:smooth val="0"/>
        </c:ser>
        <c:ser>
          <c:idx val="0"/>
          <c:order val="1"/>
          <c:tx>
            <c:strRef>
              <c:f>'4'!$D$1</c:f>
              <c:strCache>
                <c:ptCount val="1"/>
                <c:pt idx="0">
                  <c:v>累计增幅</c:v>
                </c:pt>
              </c:strCache>
            </c:strRef>
          </c:tx>
          <c:spPr>
            <a:ln w="22225" cap="rnd" cmpd="sng" algn="ctr">
              <a:solidFill>
                <a:srgbClr val="FF1B09"/>
              </a:solidFill>
              <a:prstDash val="solid"/>
              <a:round/>
            </a:ln>
            <a:effectLst/>
          </c:spPr>
          <c:marker>
            <c:symbol val="triangle"/>
            <c:size val="6"/>
            <c:spPr>
              <a:solidFill>
                <a:srgbClr val="FF1B09"/>
              </a:solidFill>
              <a:ln w="9525" cap="flat" cmpd="sng" algn="ctr">
                <a:solidFill>
                  <a:srgbClr val="FFFFFF"/>
                </a:solidFill>
                <a:prstDash val="solid"/>
                <a:round/>
              </a:ln>
            </c:spPr>
          </c:marker>
          <c:dLbls>
            <c:delete val="1"/>
          </c:dLbls>
          <c:cat>
            <c:strRef>
              <c:f>'4'!$B$2:$B$13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'4'!$D$2:$D$13</c:f>
              <c:numCache>
                <c:formatCode>0.0_ </c:formatCode>
                <c:ptCount val="12"/>
                <c:pt idx="0">
                  <c:v>3.20340733633979</c:v>
                </c:pt>
                <c:pt idx="1">
                  <c:v>4.47269148483707</c:v>
                </c:pt>
                <c:pt idx="2">
                  <c:v>4.25024452477749</c:v>
                </c:pt>
                <c:pt idx="3">
                  <c:v>3.95949211120264</c:v>
                </c:pt>
                <c:pt idx="4">
                  <c:v>3.95487549419685</c:v>
                </c:pt>
                <c:pt idx="5">
                  <c:v>3.8</c:v>
                </c:pt>
                <c:pt idx="6">
                  <c:v>4.2</c:v>
                </c:pt>
                <c:pt idx="7">
                  <c:v>3.6</c:v>
                </c:pt>
                <c:pt idx="8">
                  <c:v>3.7</c:v>
                </c:pt>
                <c:pt idx="9">
                  <c:v>4</c:v>
                </c:pt>
                <c:pt idx="10">
                  <c:v>5.7</c:v>
                </c:pt>
                <c:pt idx="11">
                  <c:v>6.97109827145629</c:v>
                </c:pt>
              </c:numCache>
            </c:numRef>
          </c:val>
          <c:smooth val="0"/>
        </c:ser>
        <c:dLbls>
          <c:showLegendKey val="0"/>
          <c:showVal val="1"/>
          <c:showCatName val="0"/>
          <c:showSerName val="0"/>
          <c:showPercent val="0"/>
          <c:showBubbleSize val="0"/>
        </c:dLbls>
        <c:marker val="1"/>
        <c:smooth val="0"/>
        <c:axId val="74441088"/>
        <c:axId val="74443008"/>
      </c:lineChart>
      <c:catAx>
        <c:axId val="74441088"/>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443008"/>
        <c:crosses val="autoZero"/>
        <c:auto val="1"/>
        <c:lblAlgn val="ctr"/>
        <c:lblOffset val="100"/>
        <c:noMultiLvlLbl val="0"/>
      </c:catAx>
      <c:valAx>
        <c:axId val="74443008"/>
        <c:scaling>
          <c:orientation val="minMax"/>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441088"/>
        <c:crosses val="autoZero"/>
        <c:crossBetween val="between"/>
      </c:valAx>
      <c:catAx>
        <c:axId val="74473472"/>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475008"/>
        <c:crosses val="autoZero"/>
        <c:auto val="1"/>
        <c:lblAlgn val="ctr"/>
        <c:lblOffset val="100"/>
        <c:noMultiLvlLbl val="0"/>
      </c:catAx>
      <c:valAx>
        <c:axId val="74475008"/>
        <c:scaling>
          <c:orientation val="minMax"/>
          <c:max val="5000"/>
        </c:scaling>
        <c:delete val="0"/>
        <c:axPos val="r"/>
        <c:numFmt formatCode="[=12]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473472"/>
        <c:crosses val="max"/>
        <c:crossBetween val="between"/>
        <c:majorUnit val="1000"/>
        <c:minorUnit val="500"/>
      </c:valAx>
      <c:dTable>
        <c:showHorzBorder val="1"/>
        <c:showVertBorder val="1"/>
        <c:showOutline val="1"/>
        <c:showKeys val="0"/>
        <c:txPr>
          <a:bodyPr rot="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dTable>
      <c:spPr>
        <a:solidFill>
          <a:srgbClr val="E6F6FD"/>
        </a:solidFill>
        <a:ln w="25400">
          <a:noFill/>
        </a:ln>
      </c:spPr>
    </c:plotArea>
    <c:legend>
      <c:legendPos val="t"/>
      <c:legendEntry>
        <c:idx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Entry>
      <c:legendEntry>
        <c:idx val="2"/>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Entry>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15673040877"/>
          <c:y val="0.0387461567304087"/>
          <c:w val="0.870872703412105"/>
          <c:h val="0.741020198562137"/>
        </c:manualLayout>
      </c:layout>
      <c:barChart>
        <c:barDir val="col"/>
        <c:grouping val="clustered"/>
        <c:varyColors val="0"/>
        <c:ser>
          <c:idx val="2"/>
          <c:order val="2"/>
          <c:tx>
            <c:strRef>
              <c:f>'4'!$E$20</c:f>
              <c:strCache>
                <c:ptCount val="1"/>
                <c:pt idx="0">
                  <c:v>累计总量</c:v>
                </c:pt>
              </c:strCache>
            </c:strRef>
          </c:tx>
          <c:spPr>
            <a:solidFill>
              <a:srgbClr val="9EDBDB"/>
            </a:solidFill>
          </c:spPr>
          <c:invertIfNegative val="0"/>
          <c:dLbls>
            <c:delete val="1"/>
          </c:dLbls>
          <c:cat>
            <c:strRef>
              <c:f>'4'!$B$21:$B$32</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'4'!$E$21:$E$32</c:f>
              <c:numCache>
                <c:formatCode>0_ </c:formatCode>
                <c:ptCount val="12"/>
                <c:pt idx="0">
                  <c:v>97.85268814</c:v>
                </c:pt>
                <c:pt idx="1">
                  <c:v>135.71789957</c:v>
                </c:pt>
                <c:pt idx="2">
                  <c:v>173.76328495</c:v>
                </c:pt>
                <c:pt idx="3">
                  <c:v>211.64305584</c:v>
                </c:pt>
                <c:pt idx="4">
                  <c:v>256.09005239</c:v>
                </c:pt>
                <c:pt idx="5">
                  <c:v>300.60871346</c:v>
                </c:pt>
                <c:pt idx="6">
                  <c:v>342.10463499</c:v>
                </c:pt>
                <c:pt idx="7">
                  <c:v>379.85069837</c:v>
                </c:pt>
                <c:pt idx="8">
                  <c:v>417.69090563</c:v>
                </c:pt>
                <c:pt idx="9">
                  <c:v>458.63530468</c:v>
                </c:pt>
                <c:pt idx="10">
                  <c:v>59.00123338</c:v>
                </c:pt>
                <c:pt idx="11">
                  <c:v>99.32968741</c:v>
                </c:pt>
              </c:numCache>
            </c:numRef>
          </c:val>
        </c:ser>
        <c:dLbls>
          <c:showLegendKey val="0"/>
          <c:showVal val="0"/>
          <c:showCatName val="0"/>
          <c:showSerName val="0"/>
          <c:showPercent val="0"/>
          <c:showBubbleSize val="0"/>
        </c:dLbls>
        <c:gapWidth val="150"/>
        <c:overlap val="0"/>
        <c:axId val="74384896"/>
        <c:axId val="74386432"/>
      </c:barChart>
      <c:lineChart>
        <c:grouping val="standard"/>
        <c:varyColors val="0"/>
        <c:ser>
          <c:idx val="0"/>
          <c:order val="0"/>
          <c:tx>
            <c:strRef>
              <c:f>'4'!$C$20</c:f>
              <c:strCache>
                <c:ptCount val="1"/>
                <c:pt idx="0">
                  <c:v>当月增幅</c:v>
                </c:pt>
              </c:strCache>
            </c:strRef>
          </c:tx>
          <c:spPr>
            <a:ln w="28575" cap="rnd" cmpd="sng" algn="ctr">
              <a:solidFill>
                <a:srgbClr val="C00000"/>
              </a:solidFill>
              <a:prstDash val="sysDot"/>
              <a:round/>
            </a:ln>
          </c:spPr>
          <c:marker>
            <c:symbol val="circle"/>
            <c:size val="6"/>
            <c:spPr>
              <a:solidFill>
                <a:srgbClr val="C00000"/>
              </a:solidFill>
              <a:ln w="6350" cap="flat" cmpd="sng" algn="ctr">
                <a:solidFill>
                  <a:sysClr val="window" lastClr="FFFFFF"/>
                </a:solidFill>
                <a:prstDash val="solid"/>
                <a:round/>
              </a:ln>
            </c:spPr>
          </c:marker>
          <c:dLbls>
            <c:delete val="1"/>
          </c:dLbls>
          <c:cat>
            <c:strRef>
              <c:f>'4'!$B$21:$B$32</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'4'!$C$21:$C$32</c:f>
              <c:numCache>
                <c:formatCode>0.0_ </c:formatCode>
                <c:ptCount val="12"/>
                <c:pt idx="0">
                  <c:v>2.2144673903</c:v>
                </c:pt>
                <c:pt idx="1">
                  <c:v>3.4357742719</c:v>
                </c:pt>
                <c:pt idx="2">
                  <c:v>1.8048425085</c:v>
                </c:pt>
                <c:pt idx="3">
                  <c:v>-3.4698477408</c:v>
                </c:pt>
                <c:pt idx="4">
                  <c:v>8.4401017388</c:v>
                </c:pt>
                <c:pt idx="5">
                  <c:v>6.5702874425</c:v>
                </c:pt>
                <c:pt idx="6">
                  <c:v>3.2085994586</c:v>
                </c:pt>
                <c:pt idx="7">
                  <c:v>6.8105640943</c:v>
                </c:pt>
                <c:pt idx="8">
                  <c:v>3.1801458193</c:v>
                </c:pt>
                <c:pt idx="9">
                  <c:v>5.4784771731</c:v>
                </c:pt>
                <c:pt idx="10">
                  <c:v>36.0382107353</c:v>
                </c:pt>
                <c:pt idx="11">
                  <c:v>4.303154748</c:v>
                </c:pt>
              </c:numCache>
            </c:numRef>
          </c:val>
          <c:smooth val="0"/>
        </c:ser>
        <c:ser>
          <c:idx val="1"/>
          <c:order val="1"/>
          <c:tx>
            <c:strRef>
              <c:f>'4'!$D$20</c:f>
              <c:strCache>
                <c:ptCount val="1"/>
                <c:pt idx="0">
                  <c:v>累计增幅</c:v>
                </c:pt>
              </c:strCache>
            </c:strRef>
          </c:tx>
          <c:spPr>
            <a:ln w="22225" cap="rnd" cmpd="sng" algn="ctr">
              <a:solidFill>
                <a:srgbClr val="FF1B09"/>
              </a:solidFill>
              <a:prstDash val="solid"/>
              <a:round/>
            </a:ln>
          </c:spPr>
          <c:marker>
            <c:symbol val="triangle"/>
            <c:size val="5"/>
            <c:spPr>
              <a:solidFill>
                <a:srgbClr val="FF1B09"/>
              </a:solidFill>
              <a:ln w="6350" cap="flat" cmpd="sng" algn="ctr">
                <a:solidFill>
                  <a:schemeClr val="bg1"/>
                </a:solidFill>
                <a:prstDash val="solid"/>
                <a:round/>
              </a:ln>
            </c:spPr>
          </c:marker>
          <c:dLbls>
            <c:delete val="1"/>
          </c:dLbls>
          <c:cat>
            <c:strRef>
              <c:f>'4'!$B$21:$B$32</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'4'!$D$21:$D$32</c:f>
              <c:numCache>
                <c:formatCode>0.0_ </c:formatCode>
                <c:ptCount val="12"/>
                <c:pt idx="0">
                  <c:v>9.3533653087</c:v>
                </c:pt>
                <c:pt idx="1">
                  <c:v>7.6353292361</c:v>
                </c:pt>
                <c:pt idx="2">
                  <c:v>6.3023505301</c:v>
                </c:pt>
                <c:pt idx="3">
                  <c:v>4.4105429858</c:v>
                </c:pt>
                <c:pt idx="4">
                  <c:v>5.0882962807</c:v>
                </c:pt>
                <c:pt idx="5">
                  <c:v>5.3051663831</c:v>
                </c:pt>
                <c:pt idx="6">
                  <c:v>5.0463330544</c:v>
                </c:pt>
                <c:pt idx="7">
                  <c:v>5.2190338329</c:v>
                </c:pt>
                <c:pt idx="8">
                  <c:v>5.0310098433</c:v>
                </c:pt>
                <c:pt idx="9">
                  <c:v>5.0708028313</c:v>
                </c:pt>
                <c:pt idx="10">
                  <c:v>-0.3156053975</c:v>
                </c:pt>
                <c:pt idx="11">
                  <c:v>1.5094110321</c:v>
                </c:pt>
              </c:numCache>
            </c:numRef>
          </c:val>
          <c:smooth val="0"/>
        </c:ser>
        <c:dLbls>
          <c:showLegendKey val="0"/>
          <c:showVal val="1"/>
          <c:showCatName val="0"/>
          <c:showSerName val="0"/>
          <c:showPercent val="0"/>
          <c:showBubbleSize val="0"/>
        </c:dLbls>
        <c:marker val="1"/>
        <c:smooth val="0"/>
        <c:axId val="74356992"/>
        <c:axId val="74383360"/>
      </c:lineChart>
      <c:catAx>
        <c:axId val="74356992"/>
        <c:scaling>
          <c:orientation val="minMax"/>
        </c:scaling>
        <c:delete val="0"/>
        <c:axPos val="b"/>
        <c:numFmt formatCode="yyyy&quot;年&quot;m&quot;月&quot;" sourceLinked="1"/>
        <c:majorTickMark val="in"/>
        <c:minorTickMark val="none"/>
        <c:tickLblPos val="low"/>
        <c:txPr>
          <a:bodyPr rot="-6000000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crossAx val="74383360"/>
        <c:crosses val="autoZero"/>
        <c:auto val="1"/>
        <c:lblAlgn val="ctr"/>
        <c:lblOffset val="100"/>
        <c:noMultiLvlLbl val="0"/>
      </c:catAx>
      <c:valAx>
        <c:axId val="74383360"/>
        <c:scaling>
          <c:orientation val="minMax"/>
        </c:scaling>
        <c:delete val="0"/>
        <c:axPos val="l"/>
        <c:majorGridlines>
          <c:spPr>
            <a:ln w="9525" cap="flat" cmpd="sng" algn="ctr">
              <a:solidFill>
                <a:schemeClr val="bg1"/>
              </a:solidFill>
              <a:prstDash val="solid"/>
              <a:round/>
            </a:ln>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356992"/>
        <c:crosses val="autoZero"/>
        <c:crossBetween val="between"/>
        <c:majorUnit val="15"/>
      </c:valAx>
      <c:catAx>
        <c:axId val="74384896"/>
        <c:scaling>
          <c:orientation val="minMax"/>
        </c:scaling>
        <c:delete val="1"/>
        <c:axPos val="b"/>
        <c:numFmt formatCode="yyyy&quot;年&quot;m&quot;月&quot;"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386432"/>
        <c:crosses val="autoZero"/>
        <c:auto val="1"/>
        <c:lblAlgn val="ctr"/>
        <c:lblOffset val="100"/>
        <c:noMultiLvlLbl val="0"/>
      </c:catAx>
      <c:valAx>
        <c:axId val="74386432"/>
        <c:scaling>
          <c:orientation val="minMax"/>
        </c:scaling>
        <c:delete val="0"/>
        <c:axPos val="r"/>
        <c:numFmt formatCode="[=4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384896"/>
        <c:crosses val="max"/>
        <c:crossBetween val="between"/>
        <c:majorUnit val="100"/>
      </c:valAx>
      <c:dTable>
        <c:showHorzBorder val="1"/>
        <c:showVertBorder val="1"/>
        <c:showOutline val="1"/>
        <c:showKeys val="0"/>
        <c:txPr>
          <a:bodyPr rot="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Table>
      <c:spPr>
        <a:solidFill>
          <a:srgbClr val="E6F6FD"/>
        </a:solidFill>
        <a:ln w="6350">
          <a:noFill/>
        </a:ln>
      </c:spPr>
    </c:plotArea>
    <c:legend>
      <c:legendPos val="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390134529148"/>
          <c:y val="0.077319587628866"/>
          <c:w val="0.878923766816144"/>
          <c:h val="0.652954074520669"/>
        </c:manualLayout>
      </c:layout>
      <c:barChart>
        <c:barDir val="col"/>
        <c:grouping val="clustered"/>
        <c:varyColors val="0"/>
        <c:ser>
          <c:idx val="1"/>
          <c:order val="1"/>
          <c:tx>
            <c:strRef>
              <c:f>'5'!$C$1</c:f>
              <c:strCache>
                <c:ptCount val="1"/>
                <c:pt idx="0">
                  <c:v/>
                </c:pt>
              </c:strCache>
            </c:strRef>
          </c:tx>
          <c:spPr>
            <a:solidFill>
              <a:srgbClr val="9EDBDB"/>
            </a:solidFill>
            <a:ln w="28575" cap="rnd" cmpd="sng" algn="ctr">
              <a:noFill/>
              <a:prstDash val="solid"/>
              <a:round/>
            </a:ln>
            <a:effectLst/>
          </c:spPr>
          <c:invertIfNegative val="0"/>
          <c:dLbls>
            <c:dLbl>
              <c:idx val="8"/>
              <c:layout>
                <c:manualLayout>
                  <c:x val="0.00813008130081301"/>
                  <c:y val="0.0087336244541485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0813008130081301"/>
                  <c:y val="0.0087336244541485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142276422764228"/>
                  <c:y val="0.0131004366812228"/>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121951219512195"/>
                  <c:y val="0.013100436681223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b" anchorCtr="0"/>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noFill/>
                      <a:prstDash val="solid"/>
                      <a:round/>
                    </a:ln>
                  </c:spPr>
                </c15:leaderLines>
              </c:ext>
            </c:extLst>
          </c:dLbls>
          <c:cat>
            <c:strRef>
              <c:f>'5'!$A$2:$A$13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'5'!$C$2:$C$13</c:f>
              <c:numCache>
                <c:formatCode>0_);[Red]\(0\)</c:formatCode>
                <c:ptCount val="12"/>
              </c:numCache>
            </c:numRef>
          </c:val>
        </c:ser>
        <c:dLbls>
          <c:showLegendKey val="0"/>
          <c:showVal val="1"/>
          <c:showCatName val="0"/>
          <c:showSerName val="0"/>
          <c:showPercent val="0"/>
          <c:showBubbleSize val="0"/>
        </c:dLbls>
        <c:gapWidth val="150"/>
        <c:overlap val="0"/>
        <c:axId val="74574464"/>
        <c:axId val="74576256"/>
      </c:barChart>
      <c:lineChart>
        <c:grouping val="standard"/>
        <c:varyColors val="0"/>
        <c:ser>
          <c:idx val="0"/>
          <c:order val="0"/>
          <c:tx>
            <c:strRef>
              <c:f>'5'!$B$1</c:f>
              <c:strCache>
                <c:ptCount val="1"/>
                <c:pt idx="0">
                  <c:v>累计增幅</c:v>
                </c:pt>
              </c:strCache>
            </c:strRef>
          </c:tx>
          <c:spPr>
            <a:ln w="22225"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1"/>
              <c:layout>
                <c:manualLayout>
                  <c:x val="-0.0627519183458268"/>
                  <c:y val="-0.039034092657099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477516962384169"/>
                  <c:y val="-0.05615957320852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0.0218340611353712"/>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318723838896579"/>
                  <c:y val="-0.056500839235842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5837832334977"/>
                  <c:y val="-0.072297277379817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470843743189267"/>
                  <c:y val="-0.06758850281718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432592268115019"/>
                  <c:y val="-0.053192648154727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'5'!$A$2:$A$13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'5'!$B$2:$B$13</c:f>
              <c:numCache>
                <c:formatCode>0.0_ </c:formatCode>
                <c:ptCount val="12"/>
                <c:pt idx="0">
                  <c:v>5.8</c:v>
                </c:pt>
                <c:pt idx="1">
                  <c:v>4.4</c:v>
                </c:pt>
                <c:pt idx="2">
                  <c:v>0.4</c:v>
                </c:pt>
                <c:pt idx="3">
                  <c:v>0.8</c:v>
                </c:pt>
                <c:pt idx="4">
                  <c:v>-0.7</c:v>
                </c:pt>
                <c:pt idx="5">
                  <c:v>-1.6</c:v>
                </c:pt>
                <c:pt idx="6">
                  <c:v>0.1</c:v>
                </c:pt>
                <c:pt idx="7">
                  <c:v>-1.5</c:v>
                </c:pt>
                <c:pt idx="8">
                  <c:v>-3.1</c:v>
                </c:pt>
                <c:pt idx="9">
                  <c:v>-2.9</c:v>
                </c:pt>
                <c:pt idx="10">
                  <c:v>0.1</c:v>
                </c:pt>
                <c:pt idx="11">
                  <c:v>0.4</c:v>
                </c:pt>
              </c:numCache>
            </c:numRef>
          </c:val>
          <c:smooth val="0"/>
        </c:ser>
        <c:dLbls>
          <c:showLegendKey val="0"/>
          <c:showVal val="1"/>
          <c:showCatName val="0"/>
          <c:showSerName val="0"/>
          <c:showPercent val="0"/>
          <c:showBubbleSize val="0"/>
        </c:dLbls>
        <c:marker val="1"/>
        <c:smooth val="0"/>
        <c:axId val="74542080"/>
        <c:axId val="74572928"/>
      </c:lineChart>
      <c:catAx>
        <c:axId val="74542080"/>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572928"/>
        <c:crosses val="autoZero"/>
        <c:auto val="1"/>
        <c:lblAlgn val="ctr"/>
        <c:lblOffset val="100"/>
        <c:noMultiLvlLbl val="0"/>
      </c:catAx>
      <c:valAx>
        <c:axId val="74572928"/>
        <c:scaling>
          <c:orientation val="minMax"/>
          <c:max val="15"/>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542080"/>
        <c:crosses val="autoZero"/>
        <c:crossBetween val="between"/>
        <c:majorUnit val="3"/>
        <c:minorUnit val="1"/>
      </c:valAx>
      <c:catAx>
        <c:axId val="74574464"/>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576256"/>
        <c:crosses val="autoZero"/>
        <c:auto val="1"/>
        <c:lblAlgn val="ctr"/>
        <c:lblOffset val="100"/>
        <c:noMultiLvlLbl val="0"/>
      </c:catAx>
      <c:valAx>
        <c:axId val="74576256"/>
        <c:scaling>
          <c:orientation val="minMax"/>
          <c:max val="10000"/>
        </c:scaling>
        <c:delete val="0"/>
        <c:axPos val="r"/>
        <c:numFmt formatCode="[=2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crossAx val="74574464"/>
        <c:crosses val="max"/>
        <c:crossBetween val="between"/>
        <c:majorUnit val="2000"/>
        <c:minorUnit val="1000"/>
      </c:valAx>
      <c:spPr>
        <a:solidFill>
          <a:srgbClr val="E6F6FD"/>
        </a:solidFill>
        <a:ln w="25400">
          <a:noFill/>
        </a:ln>
      </c:spPr>
    </c:plotArea>
    <c:legend>
      <c:legendPos val="t"/>
      <c:layout>
        <c:manualLayout>
          <c:xMode val="edge"/>
          <c:yMode val="edge"/>
          <c:x val="0.518671976780619"/>
          <c:y val="0.0131004366812227"/>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61122379986477"/>
          <c:y val="0.164502164502165"/>
          <c:w val="0.862204192021636"/>
          <c:h val="0.553477633477634"/>
        </c:manualLayout>
      </c:layout>
      <c:barChart>
        <c:barDir val="col"/>
        <c:grouping val="clustered"/>
        <c:varyColors val="0"/>
        <c:ser>
          <c:idx val="1"/>
          <c:order val="1"/>
          <c:tx>
            <c:strRef>
              <c:f>'5'!$C$21</c:f>
              <c:strCache>
                <c:ptCount val="1"/>
                <c:pt idx="0">
                  <c:v/>
                </c:pt>
              </c:strCache>
            </c:strRef>
          </c:tx>
          <c:spPr>
            <a:solidFill>
              <a:srgbClr val="9EDBDB"/>
            </a:solidFill>
            <a:ln w="28575" cap="rnd" cmpd="sng" algn="ctr">
              <a:noFill/>
              <a:prstDash val="solid"/>
              <a:round/>
            </a:ln>
            <a:effectLst/>
          </c:spPr>
          <c:invertIfNegative val="0"/>
          <c:dLbls>
            <c:dLbl>
              <c:idx val="9"/>
              <c:layout>
                <c:manualLayout>
                  <c:x val="0.00608519269776876"/>
                  <c:y val="-6.56201083530251e-17"/>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101419878296146"/>
                  <c:y val="1.3124021670605e-16"/>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0405679513184584"/>
                  <c:y val="0.00432900432900446"/>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noFill/>
                      <a:prstDash val="solid"/>
                      <a:round/>
                    </a:ln>
                  </c:spPr>
                </c15:leaderLines>
              </c:ext>
            </c:extLst>
          </c:dLbls>
          <c:cat>
            <c:strRef>
              <c:f>'5'!$A$22:$A$33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'5'!$C$22:$C$33</c:f>
              <c:numCache>
                <c:formatCode>0_);[Red]\(0\)</c:formatCode>
                <c:ptCount val="12"/>
              </c:numCache>
            </c:numRef>
          </c:val>
        </c:ser>
        <c:dLbls>
          <c:showLegendKey val="0"/>
          <c:showVal val="1"/>
          <c:showCatName val="0"/>
          <c:showSerName val="0"/>
          <c:showPercent val="0"/>
          <c:showBubbleSize val="0"/>
        </c:dLbls>
        <c:gapWidth val="150"/>
        <c:overlap val="0"/>
        <c:axId val="74691328"/>
        <c:axId val="74692864"/>
      </c:barChart>
      <c:lineChart>
        <c:grouping val="standard"/>
        <c:varyColors val="0"/>
        <c:ser>
          <c:idx val="0"/>
          <c:order val="0"/>
          <c:tx>
            <c:strRef>
              <c:f>'5'!$B$21</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378368889361857"/>
                  <c:y val="-0.05628282828282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50753054186266"/>
                  <c:y val="-0.06874240719910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0405679513184584"/>
                  <c:y val="0.021645021645021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428615411837566"/>
                  <c:y val="-0.06926984126984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69183363156024"/>
                  <c:y val="-0.06984704184704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59504791998774"/>
                  <c:y val="-0.071867243867243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373046269824792"/>
                  <c:y val="-0.053715749646126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
                  <c:y val="0.125541125541125"/>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'5'!$A$22:$A$33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'5'!$B$22:$B$33</c:f>
              <c:numCache>
                <c:formatCode>0.0_ </c:formatCode>
                <c:ptCount val="12"/>
                <c:pt idx="0">
                  <c:v>4.1</c:v>
                </c:pt>
                <c:pt idx="1">
                  <c:v>5.3</c:v>
                </c:pt>
                <c:pt idx="2">
                  <c:v>1.9</c:v>
                </c:pt>
                <c:pt idx="3">
                  <c:v>1.1</c:v>
                </c:pt>
                <c:pt idx="4">
                  <c:v>1.6</c:v>
                </c:pt>
                <c:pt idx="5">
                  <c:v>0.9</c:v>
                </c:pt>
                <c:pt idx="6">
                  <c:v>1.4</c:v>
                </c:pt>
                <c:pt idx="7">
                  <c:v>-0.6</c:v>
                </c:pt>
                <c:pt idx="8">
                  <c:v>-2.9</c:v>
                </c:pt>
                <c:pt idx="9">
                  <c:v>-4.1</c:v>
                </c:pt>
                <c:pt idx="10">
                  <c:v>-2.4</c:v>
                </c:pt>
                <c:pt idx="11">
                  <c:v>-4.7</c:v>
                </c:pt>
              </c:numCache>
            </c:numRef>
          </c:val>
          <c:smooth val="0"/>
        </c:ser>
        <c:dLbls>
          <c:showLegendKey val="0"/>
          <c:showVal val="1"/>
          <c:showCatName val="0"/>
          <c:showSerName val="0"/>
          <c:showPercent val="0"/>
          <c:showBubbleSize val="0"/>
        </c:dLbls>
        <c:marker val="1"/>
        <c:smooth val="0"/>
        <c:axId val="74667136"/>
        <c:axId val="74669056"/>
      </c:lineChart>
      <c:catAx>
        <c:axId val="74667136"/>
        <c:scaling>
          <c:orientation val="minMax"/>
        </c:scaling>
        <c:delete val="0"/>
        <c:axPos val="b"/>
        <c:numFmt formatCode="General" sourceLinked="1"/>
        <c:majorTickMark val="in"/>
        <c:minorTickMark val="none"/>
        <c:tickLblPos val="low"/>
        <c:spPr>
          <a:noFill/>
          <a:effectLst/>
        </c:spPr>
        <c:txPr>
          <a:bodyPr rot="-60000000" spcFirstLastPara="1" vertOverflow="ellipsis" vert="horz" wrap="square" anchor="t" anchorCtr="0"/>
          <a:lstStyle/>
          <a:p>
            <a:pPr>
              <a:defRPr lang="zh-CN" sz="800" b="0" i="0" u="none" strike="noStrike" kern="1200" baseline="0">
                <a:solidFill>
                  <a:sysClr val="windowText" lastClr="000000"/>
                </a:solidFill>
                <a:latin typeface="+mn-lt"/>
                <a:ea typeface="+mn-ea"/>
                <a:cs typeface="+mn-cs"/>
              </a:defRPr>
            </a:pPr>
          </a:p>
        </c:txPr>
        <c:crossAx val="74669056"/>
        <c:crosses val="autoZero"/>
        <c:auto val="1"/>
        <c:lblAlgn val="ctr"/>
        <c:lblOffset val="100"/>
        <c:noMultiLvlLbl val="0"/>
      </c:catAx>
      <c:valAx>
        <c:axId val="74669056"/>
        <c:scaling>
          <c:orientation val="minMax"/>
          <c:max val="12"/>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67136"/>
        <c:crosses val="autoZero"/>
        <c:crossBetween val="between"/>
        <c:majorUnit val="3"/>
        <c:minorUnit val="1"/>
      </c:valAx>
      <c:catAx>
        <c:axId val="74691328"/>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92864"/>
        <c:crosses val="autoZero"/>
        <c:auto val="1"/>
        <c:lblAlgn val="ctr"/>
        <c:lblOffset val="100"/>
        <c:noMultiLvlLbl val="0"/>
      </c:catAx>
      <c:valAx>
        <c:axId val="74692864"/>
        <c:scaling>
          <c:orientation val="minMax"/>
          <c:max val="5000"/>
        </c:scaling>
        <c:delete val="0"/>
        <c:axPos val="r"/>
        <c:numFmt formatCode="0" sourceLinked="0"/>
        <c:majorTickMark val="in"/>
        <c:minorTickMark val="none"/>
        <c:tickLblPos val="nextTo"/>
        <c:txPr>
          <a:bodyPr rot="-60000000" spcFirstLastPara="0" vertOverflow="ellipsis" vert="horz" wrap="square" anchor="ctr" anchorCtr="1"/>
          <a:lstStyle/>
          <a:p>
            <a:pPr>
              <a:defRPr lang="zh-CN" sz="1000" b="0" i="0" u="none" strike="noStrike" kern="1200" cap="none" spc="-59" normalizeH="0" baseline="0">
                <a:solidFill>
                  <a:schemeClr val="tx1"/>
                </a:solidFill>
                <a:uFill>
                  <a:solidFill>
                    <a:schemeClr val="tx1"/>
                  </a:solidFill>
                </a:uFill>
                <a:latin typeface="+mn-lt"/>
                <a:ea typeface="+mn-ea"/>
                <a:cs typeface="+mn-cs"/>
              </a:defRPr>
            </a:pPr>
          </a:p>
        </c:txPr>
        <c:crossAx val="74691328"/>
        <c:crosses val="max"/>
        <c:crossBetween val="between"/>
        <c:majorUnit val="1000"/>
        <c:minorUnit val="500"/>
      </c:valAx>
      <c:spPr>
        <a:solidFill>
          <a:srgbClr val="E6F6FD"/>
        </a:solidFill>
        <a:ln w="25400">
          <a:noFill/>
        </a:ln>
      </c:spPr>
    </c:plotArea>
    <c:legend>
      <c:legendPos val="t"/>
      <c:layout>
        <c:manualLayout>
          <c:xMode val="edge"/>
          <c:yMode val="edge"/>
          <c:x val="0.626774847870183"/>
          <c:y val="0.017316017316017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390134529148"/>
          <c:y val="0.077319587628866"/>
          <c:w val="0.878923766816144"/>
          <c:h val="0.652954074520669"/>
        </c:manualLayout>
      </c:layout>
      <c:lineChart>
        <c:grouping val="standard"/>
        <c:varyColors val="0"/>
        <c:ser>
          <c:idx val="0"/>
          <c:order val="0"/>
          <c:tx>
            <c:strRef>
              <c:f>'5'!$B$1</c:f>
              <c:strCache>
                <c:ptCount val="1"/>
                <c:pt idx="0">
                  <c:v>累计增幅</c:v>
                </c:pt>
              </c:strCache>
            </c:strRef>
          </c:tx>
          <c:spPr>
            <a:ln w="22225"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1"/>
              <c:layout>
                <c:manualLayout>
                  <c:x val="-0.0627519183458268"/>
                  <c:y val="-0.039034092657099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477516962384169"/>
                  <c:y val="-0.05615957320852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0.0218340611353712"/>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318723838896579"/>
                  <c:y val="-0.056500839235842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37707751034164"/>
                  <c:y val="-0.032995967336148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247266507416909"/>
                  <c:y val="-0.063221690590111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290315845350792"/>
                  <c:y val="0.051610845295053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'5'!$A$2:$A$13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'5'!$B$2:$B$13</c:f>
              <c:numCache>
                <c:formatCode>0.0_ </c:formatCode>
                <c:ptCount val="12"/>
                <c:pt idx="0">
                  <c:v>5.8</c:v>
                </c:pt>
                <c:pt idx="1">
                  <c:v>4.4</c:v>
                </c:pt>
                <c:pt idx="2">
                  <c:v>0.4</c:v>
                </c:pt>
                <c:pt idx="3">
                  <c:v>0.8</c:v>
                </c:pt>
                <c:pt idx="4">
                  <c:v>-0.7</c:v>
                </c:pt>
                <c:pt idx="5">
                  <c:v>-1.6</c:v>
                </c:pt>
                <c:pt idx="6">
                  <c:v>0.1</c:v>
                </c:pt>
                <c:pt idx="7">
                  <c:v>-1.5</c:v>
                </c:pt>
                <c:pt idx="8">
                  <c:v>-3.1</c:v>
                </c:pt>
                <c:pt idx="9">
                  <c:v>-2.9</c:v>
                </c:pt>
                <c:pt idx="10">
                  <c:v>0.1</c:v>
                </c:pt>
                <c:pt idx="11">
                  <c:v>0.4</c:v>
                </c:pt>
              </c:numCache>
            </c:numRef>
          </c:val>
          <c:smooth val="0"/>
        </c:ser>
        <c:dLbls>
          <c:showLegendKey val="0"/>
          <c:showVal val="1"/>
          <c:showCatName val="0"/>
          <c:showSerName val="0"/>
          <c:showPercent val="0"/>
          <c:showBubbleSize val="0"/>
        </c:dLbls>
        <c:marker val="1"/>
        <c:smooth val="0"/>
        <c:axId val="74542080"/>
        <c:axId val="74572928"/>
      </c:lineChart>
      <c:catAx>
        <c:axId val="74542080"/>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572928"/>
        <c:crosses val="autoZero"/>
        <c:auto val="1"/>
        <c:lblAlgn val="ctr"/>
        <c:lblOffset val="100"/>
        <c:noMultiLvlLbl val="0"/>
      </c:catAx>
      <c:valAx>
        <c:axId val="74572928"/>
        <c:scaling>
          <c:orientation val="minMax"/>
          <c:max val="15"/>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542080"/>
        <c:crosses val="autoZero"/>
        <c:crossBetween val="between"/>
        <c:majorUnit val="3"/>
        <c:minorUnit val="1"/>
      </c:valAx>
      <c:spPr>
        <a:solidFill>
          <a:srgbClr val="E6F6FD"/>
        </a:solidFill>
        <a:ln w="25400">
          <a:noFill/>
        </a:ln>
      </c:spPr>
    </c:plotArea>
    <c:legend>
      <c:legendPos val="t"/>
      <c:layout>
        <c:manualLayout>
          <c:xMode val="edge"/>
          <c:yMode val="edge"/>
          <c:x val="0.76257441580501"/>
          <c:y val="0.0524017467248908"/>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61122379986477"/>
          <c:y val="0.164502164502165"/>
          <c:w val="0.862204192021636"/>
          <c:h val="0.553477633477634"/>
        </c:manualLayout>
      </c:layout>
      <c:lineChart>
        <c:grouping val="standard"/>
        <c:varyColors val="0"/>
        <c:ser>
          <c:idx val="0"/>
          <c:order val="0"/>
          <c:tx>
            <c:strRef>
              <c:f>'5'!$B$21</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378368889361857"/>
                  <c:y val="-0.05628282828282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30469078527037"/>
                  <c:y val="-0.06874240719910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0405679513184584"/>
                  <c:y val="0.021645021645021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428615411837566"/>
                  <c:y val="-0.06926984126984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28615411837566"/>
                  <c:y val="-0.043873015873015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398652865021086"/>
                  <c:y val="-0.050222222222222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515034099439397"/>
                  <c:y val="-0.058044753975131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'5'!$A$22:$A$33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'5'!$B$22:$B$33</c:f>
              <c:numCache>
                <c:formatCode>0.0_ </c:formatCode>
                <c:ptCount val="12"/>
                <c:pt idx="0">
                  <c:v>4.1</c:v>
                </c:pt>
                <c:pt idx="1">
                  <c:v>5.3</c:v>
                </c:pt>
                <c:pt idx="2">
                  <c:v>1.9</c:v>
                </c:pt>
                <c:pt idx="3">
                  <c:v>1.1</c:v>
                </c:pt>
                <c:pt idx="4">
                  <c:v>1.6</c:v>
                </c:pt>
                <c:pt idx="5">
                  <c:v>0.9</c:v>
                </c:pt>
                <c:pt idx="6">
                  <c:v>1.4</c:v>
                </c:pt>
                <c:pt idx="7">
                  <c:v>-0.6</c:v>
                </c:pt>
                <c:pt idx="8">
                  <c:v>-2.9</c:v>
                </c:pt>
                <c:pt idx="9">
                  <c:v>-4.1</c:v>
                </c:pt>
                <c:pt idx="10">
                  <c:v>-2.4</c:v>
                </c:pt>
                <c:pt idx="11">
                  <c:v>-4.7</c:v>
                </c:pt>
              </c:numCache>
            </c:numRef>
          </c:val>
          <c:smooth val="0"/>
        </c:ser>
        <c:dLbls>
          <c:showLegendKey val="0"/>
          <c:showVal val="1"/>
          <c:showCatName val="0"/>
          <c:showSerName val="0"/>
          <c:showPercent val="0"/>
          <c:showBubbleSize val="0"/>
        </c:dLbls>
        <c:marker val="1"/>
        <c:smooth val="0"/>
        <c:axId val="74667136"/>
        <c:axId val="74669056"/>
      </c:lineChart>
      <c:catAx>
        <c:axId val="74667136"/>
        <c:scaling>
          <c:orientation val="minMax"/>
        </c:scaling>
        <c:delete val="0"/>
        <c:axPos val="b"/>
        <c:numFmt formatCode="General" sourceLinked="1"/>
        <c:majorTickMark val="in"/>
        <c:minorTickMark val="none"/>
        <c:tickLblPos val="low"/>
        <c:spPr>
          <a:noFill/>
          <a:effectLst/>
        </c:spPr>
        <c:txPr>
          <a:bodyPr rot="-60000000" spcFirstLastPara="1" vertOverflow="ellipsis" vert="horz" wrap="square" anchor="t" anchorCtr="0"/>
          <a:lstStyle/>
          <a:p>
            <a:pPr>
              <a:defRPr lang="zh-CN" sz="800" b="0" i="0" u="none" strike="noStrike" kern="1200" baseline="0">
                <a:solidFill>
                  <a:sysClr val="windowText" lastClr="000000"/>
                </a:solidFill>
                <a:latin typeface="+mn-lt"/>
                <a:ea typeface="+mn-ea"/>
                <a:cs typeface="+mn-cs"/>
              </a:defRPr>
            </a:pPr>
          </a:p>
        </c:txPr>
        <c:crossAx val="74669056"/>
        <c:crosses val="autoZero"/>
        <c:auto val="1"/>
        <c:lblAlgn val="ctr"/>
        <c:lblOffset val="100"/>
        <c:noMultiLvlLbl val="0"/>
      </c:catAx>
      <c:valAx>
        <c:axId val="74669056"/>
        <c:scaling>
          <c:orientation val="minMax"/>
          <c:max val="12"/>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67136"/>
        <c:crosses val="autoZero"/>
        <c:crossBetween val="between"/>
        <c:majorUnit val="3"/>
        <c:minorUnit val="1"/>
      </c:valAx>
      <c:spPr>
        <a:solidFill>
          <a:srgbClr val="E6F6FD"/>
        </a:solidFill>
        <a:ln w="25400">
          <a:noFill/>
        </a:ln>
      </c:spPr>
    </c:plotArea>
    <c:legend>
      <c:legendPos val="t"/>
      <c:layout>
        <c:manualLayout>
          <c:xMode val="edge"/>
          <c:yMode val="edge"/>
          <c:x val="0.774645030425963"/>
          <c:y val="0.043290043290043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390134529148"/>
          <c:y val="0.077319587628866"/>
          <c:w val="0.878923766816144"/>
          <c:h val="0.652954074520669"/>
        </c:manualLayout>
      </c:layout>
      <c:barChart>
        <c:barDir val="col"/>
        <c:grouping val="clustered"/>
        <c:varyColors val="0"/>
        <c:ser>
          <c:idx val="1"/>
          <c:order val="1"/>
          <c:tx>
            <c:strRef>
              <c:f>'6'!$C$1</c:f>
              <c:strCache>
                <c:ptCount val="1"/>
                <c:pt idx="0">
                  <c:v/>
                </c:pt>
              </c:strCache>
            </c:strRef>
          </c:tx>
          <c:spPr>
            <a:solidFill>
              <a:srgbClr val="9EDBDB"/>
            </a:solidFill>
            <a:ln w="28575" cap="rnd" cmpd="sng" algn="ctr">
              <a:noFill/>
              <a:prstDash val="solid"/>
              <a:round/>
            </a:ln>
            <a:effectLst/>
          </c:spPr>
          <c:invertIfNegative val="0"/>
          <c:dLbls>
            <c:dLbl>
              <c:idx val="8"/>
              <c:layout>
                <c:manualLayout>
                  <c:x val="0.00813008130081301"/>
                  <c:y val="0.0087336244541485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0813008130081301"/>
                  <c:y val="0.0087336244541485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142276422764228"/>
                  <c:y val="0.0131004366812228"/>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101626016260163"/>
                  <c:y val="0.0043668122270749"/>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noFill/>
                      <a:prstDash val="solid"/>
                      <a:round/>
                    </a:ln>
                  </c:spPr>
                </c15:leaderLines>
              </c:ext>
            </c:extLst>
          </c:dLbls>
          <c:cat>
            <c:strRef>
              <c:f>'6'!$A$2:$A$13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'6'!$C$2:$C$13</c:f>
              <c:numCache>
                <c:formatCode>0_);[Red]\(0\)</c:formatCode>
                <c:ptCount val="12"/>
              </c:numCache>
            </c:numRef>
          </c:val>
        </c:ser>
        <c:dLbls>
          <c:showLegendKey val="0"/>
          <c:showVal val="1"/>
          <c:showCatName val="0"/>
          <c:showSerName val="0"/>
          <c:showPercent val="0"/>
          <c:showBubbleSize val="0"/>
        </c:dLbls>
        <c:gapWidth val="150"/>
        <c:overlap val="0"/>
        <c:axId val="74574464"/>
        <c:axId val="74576256"/>
      </c:barChart>
      <c:lineChart>
        <c:grouping val="standard"/>
        <c:varyColors val="0"/>
        <c:ser>
          <c:idx val="0"/>
          <c:order val="0"/>
          <c:tx>
            <c:strRef>
              <c:f>'6'!$B$1</c:f>
              <c:strCache>
                <c:ptCount val="1"/>
                <c:pt idx="0">
                  <c:v>累计增幅</c:v>
                </c:pt>
              </c:strCache>
            </c:strRef>
          </c:tx>
          <c:spPr>
            <a:ln w="22225"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1"/>
              <c:layout>
                <c:manualLayout>
                  <c:x val="-0.0627519183458268"/>
                  <c:y val="-0.039034092657099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477516962384169"/>
                  <c:y val="-0.05615957320852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0203252032520325"/>
                  <c:y val="0.12663755458515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0002465190471"/>
                  <c:y val="0.052669466441013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580329542861965"/>
                  <c:y val="-0.063563652925668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0846648814006494"/>
                  <c:y val="0.063415863995041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432592268115019"/>
                  <c:y val="-0.053192648154727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'6'!$A$2:$A$13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'6'!$B$2:$B$13</c:f>
              <c:numCache>
                <c:formatCode>0.0_ </c:formatCode>
                <c:ptCount val="12"/>
                <c:pt idx="0">
                  <c:v>13.8</c:v>
                </c:pt>
                <c:pt idx="1">
                  <c:v>9.7</c:v>
                </c:pt>
                <c:pt idx="2">
                  <c:v>9</c:v>
                </c:pt>
                <c:pt idx="3">
                  <c:v>8.5</c:v>
                </c:pt>
                <c:pt idx="4">
                  <c:v>4.9</c:v>
                </c:pt>
                <c:pt idx="5">
                  <c:v>2.5</c:v>
                </c:pt>
                <c:pt idx="6">
                  <c:v>4.7</c:v>
                </c:pt>
                <c:pt idx="7">
                  <c:v>0.5</c:v>
                </c:pt>
                <c:pt idx="8">
                  <c:v>1.1</c:v>
                </c:pt>
                <c:pt idx="9">
                  <c:v>1.9</c:v>
                </c:pt>
                <c:pt idx="10">
                  <c:v>11.1</c:v>
                </c:pt>
                <c:pt idx="11">
                  <c:v>14.6</c:v>
                </c:pt>
              </c:numCache>
            </c:numRef>
          </c:val>
          <c:smooth val="0"/>
        </c:ser>
        <c:dLbls>
          <c:showLegendKey val="0"/>
          <c:showVal val="1"/>
          <c:showCatName val="0"/>
          <c:showSerName val="0"/>
          <c:showPercent val="0"/>
          <c:showBubbleSize val="0"/>
        </c:dLbls>
        <c:marker val="1"/>
        <c:smooth val="0"/>
        <c:axId val="74542080"/>
        <c:axId val="74572928"/>
      </c:lineChart>
      <c:catAx>
        <c:axId val="74542080"/>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572928"/>
        <c:crosses val="autoZero"/>
        <c:auto val="1"/>
        <c:lblAlgn val="ctr"/>
        <c:lblOffset val="100"/>
        <c:noMultiLvlLbl val="0"/>
      </c:catAx>
      <c:valAx>
        <c:axId val="74572928"/>
        <c:scaling>
          <c:orientation val="minMax"/>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542080"/>
        <c:crosses val="autoZero"/>
        <c:crossBetween val="between"/>
      </c:valAx>
      <c:catAx>
        <c:axId val="74574464"/>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576256"/>
        <c:crosses val="autoZero"/>
        <c:auto val="1"/>
        <c:lblAlgn val="ctr"/>
        <c:lblOffset val="100"/>
        <c:noMultiLvlLbl val="0"/>
      </c:catAx>
      <c:valAx>
        <c:axId val="74576256"/>
        <c:scaling>
          <c:orientation val="minMax"/>
        </c:scaling>
        <c:delete val="0"/>
        <c:axPos val="r"/>
        <c:numFmt formatCode="[=2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crossAx val="74574464"/>
        <c:crosses val="max"/>
        <c:crossBetween val="between"/>
      </c:valAx>
      <c:spPr>
        <a:solidFill>
          <a:srgbClr val="E6F6FD"/>
        </a:solidFill>
        <a:ln w="25400">
          <a:noFill/>
        </a:ln>
      </c:spPr>
    </c:plotArea>
    <c:legend>
      <c:legendPos val="t"/>
      <c:layout>
        <c:manualLayout>
          <c:xMode val="edge"/>
          <c:yMode val="edge"/>
          <c:x val="0.429241082471676"/>
          <c:y val="0.0131004366812227"/>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61122379986477"/>
          <c:y val="0.164502164502165"/>
          <c:w val="0.862204192021636"/>
          <c:h val="0.553477633477634"/>
        </c:manualLayout>
      </c:layout>
      <c:barChart>
        <c:barDir val="col"/>
        <c:grouping val="clustered"/>
        <c:varyColors val="0"/>
        <c:ser>
          <c:idx val="1"/>
          <c:order val="1"/>
          <c:tx>
            <c:strRef>
              <c:f>'6'!$C$21</c:f>
              <c:strCache>
                <c:ptCount val="1"/>
                <c:pt idx="0">
                  <c:v/>
                </c:pt>
              </c:strCache>
            </c:strRef>
          </c:tx>
          <c:spPr>
            <a:solidFill>
              <a:srgbClr val="9EDBDB"/>
            </a:solidFill>
            <a:ln w="28575" cap="rnd" cmpd="sng" algn="ctr">
              <a:noFill/>
              <a:prstDash val="solid"/>
              <a:round/>
            </a:ln>
            <a:effectLst/>
          </c:spPr>
          <c:invertIfNegative val="0"/>
          <c:dLbls>
            <c:dLbl>
              <c:idx val="9"/>
              <c:layout>
                <c:manualLayout>
                  <c:x val="0.00608519269776876"/>
                  <c:y val="-6.56201083530251e-17"/>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101419878296146"/>
                  <c:y val="1.3124021670605e-16"/>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0202839756592292"/>
                  <c:y val="1.3124021670605e-16"/>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noFill/>
                      <a:prstDash val="solid"/>
                      <a:round/>
                    </a:ln>
                  </c:spPr>
                </c15:leaderLines>
              </c:ext>
            </c:extLst>
          </c:dLbls>
          <c:cat>
            <c:strRef>
              <c:f>'6'!$A$22:$A$33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'6'!$C$22:$C$33</c:f>
              <c:numCache>
                <c:formatCode>0_);[Red]\(0\)</c:formatCode>
                <c:ptCount val="12"/>
              </c:numCache>
            </c:numRef>
          </c:val>
        </c:ser>
        <c:dLbls>
          <c:showLegendKey val="0"/>
          <c:showVal val="1"/>
          <c:showCatName val="0"/>
          <c:showSerName val="0"/>
          <c:showPercent val="0"/>
          <c:showBubbleSize val="0"/>
        </c:dLbls>
        <c:gapWidth val="150"/>
        <c:overlap val="0"/>
        <c:axId val="74691328"/>
        <c:axId val="74692864"/>
      </c:barChart>
      <c:lineChart>
        <c:grouping val="standard"/>
        <c:varyColors val="0"/>
        <c:ser>
          <c:idx val="0"/>
          <c:order val="0"/>
          <c:tx>
            <c:strRef>
              <c:f>'6'!$B$21</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378368889361857"/>
                  <c:y val="-0.05628282828282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50753054186266"/>
                  <c:y val="-0.06874240719910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0405679513184584"/>
                  <c:y val="0.021645021645021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428615411837566"/>
                  <c:y val="-0.06926984126984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69183363156024"/>
                  <c:y val="-0.06984704184704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59504791998774"/>
                  <c:y val="-0.071867243867243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373046269824792"/>
                  <c:y val="-0.053715749646126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
                  <c:y val="0.12121212121212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'6'!$A$22:$A$33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'6'!$B$22:$B$33</c:f>
              <c:numCache>
                <c:formatCode>0.0_ </c:formatCode>
                <c:ptCount val="12"/>
                <c:pt idx="0">
                  <c:v>12.5</c:v>
                </c:pt>
                <c:pt idx="1">
                  <c:v>9.3</c:v>
                </c:pt>
                <c:pt idx="2">
                  <c:v>7.4</c:v>
                </c:pt>
                <c:pt idx="3">
                  <c:v>5.8</c:v>
                </c:pt>
                <c:pt idx="4">
                  <c:v>2.1</c:v>
                </c:pt>
                <c:pt idx="5">
                  <c:v>-0.3</c:v>
                </c:pt>
                <c:pt idx="6">
                  <c:v>2.8</c:v>
                </c:pt>
                <c:pt idx="7">
                  <c:v>-1.8</c:v>
                </c:pt>
                <c:pt idx="8">
                  <c:v>-1</c:v>
                </c:pt>
                <c:pt idx="9">
                  <c:v>-0.1</c:v>
                </c:pt>
                <c:pt idx="10">
                  <c:v>7.4</c:v>
                </c:pt>
                <c:pt idx="11">
                  <c:v>12.9</c:v>
                </c:pt>
              </c:numCache>
            </c:numRef>
          </c:val>
          <c:smooth val="0"/>
        </c:ser>
        <c:dLbls>
          <c:showLegendKey val="0"/>
          <c:showVal val="1"/>
          <c:showCatName val="0"/>
          <c:showSerName val="0"/>
          <c:showPercent val="0"/>
          <c:showBubbleSize val="0"/>
        </c:dLbls>
        <c:marker val="1"/>
        <c:smooth val="0"/>
        <c:axId val="74667136"/>
        <c:axId val="74669056"/>
      </c:lineChart>
      <c:catAx>
        <c:axId val="74667136"/>
        <c:scaling>
          <c:orientation val="minMax"/>
        </c:scaling>
        <c:delete val="0"/>
        <c:axPos val="b"/>
        <c:numFmt formatCode="General" sourceLinked="1"/>
        <c:majorTickMark val="in"/>
        <c:minorTickMark val="none"/>
        <c:tickLblPos val="low"/>
        <c:spPr>
          <a:noFill/>
          <a:effectLst/>
        </c:spPr>
        <c:txPr>
          <a:bodyPr rot="-60000000" spcFirstLastPara="1" vertOverflow="ellipsis" vert="horz" wrap="square" anchor="t" anchorCtr="0"/>
          <a:lstStyle/>
          <a:p>
            <a:pPr>
              <a:defRPr lang="zh-CN" sz="800" b="0" i="0" u="none" strike="noStrike" kern="1200" baseline="0">
                <a:solidFill>
                  <a:sysClr val="windowText" lastClr="000000"/>
                </a:solidFill>
                <a:latin typeface="+mn-lt"/>
                <a:ea typeface="+mn-ea"/>
                <a:cs typeface="+mn-cs"/>
              </a:defRPr>
            </a:pPr>
          </a:p>
        </c:txPr>
        <c:crossAx val="74669056"/>
        <c:crosses val="autoZero"/>
        <c:auto val="1"/>
        <c:lblAlgn val="ctr"/>
        <c:lblOffset val="100"/>
        <c:noMultiLvlLbl val="0"/>
      </c:catAx>
      <c:valAx>
        <c:axId val="74669056"/>
        <c:scaling>
          <c:orientation val="minMax"/>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67136"/>
        <c:crosses val="autoZero"/>
        <c:crossBetween val="between"/>
      </c:valAx>
      <c:catAx>
        <c:axId val="74691328"/>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92864"/>
        <c:crosses val="autoZero"/>
        <c:auto val="1"/>
        <c:lblAlgn val="ctr"/>
        <c:lblOffset val="100"/>
        <c:noMultiLvlLbl val="0"/>
      </c:catAx>
      <c:valAx>
        <c:axId val="74692864"/>
        <c:scaling>
          <c:orientation val="minMax"/>
        </c:scaling>
        <c:delete val="0"/>
        <c:axPos val="r"/>
        <c:numFmt formatCode="0" sourceLinked="0"/>
        <c:majorTickMark val="in"/>
        <c:minorTickMark val="none"/>
        <c:tickLblPos val="nextTo"/>
        <c:txPr>
          <a:bodyPr rot="-60000000" spcFirstLastPara="0" vertOverflow="ellipsis" vert="horz" wrap="square" anchor="ctr" anchorCtr="1"/>
          <a:lstStyle/>
          <a:p>
            <a:pPr>
              <a:defRPr lang="zh-CN" sz="1000" b="0" i="0" u="none" strike="noStrike" kern="1200" cap="none" spc="-59" normalizeH="0" baseline="0">
                <a:solidFill>
                  <a:schemeClr val="tx1"/>
                </a:solidFill>
                <a:uFill>
                  <a:solidFill>
                    <a:schemeClr val="tx1"/>
                  </a:solidFill>
                </a:uFill>
                <a:latin typeface="+mn-lt"/>
                <a:ea typeface="+mn-ea"/>
                <a:cs typeface="+mn-cs"/>
              </a:defRPr>
            </a:pPr>
          </a:p>
        </c:txPr>
        <c:crossAx val="74691328"/>
        <c:crosses val="max"/>
        <c:crossBetween val="between"/>
      </c:valAx>
      <c:spPr>
        <a:solidFill>
          <a:srgbClr val="E6F6FD"/>
        </a:solidFill>
        <a:ln w="25400">
          <a:noFill/>
        </a:ln>
      </c:spPr>
    </c:plotArea>
    <c:legend>
      <c:legendPos val="t"/>
      <c:layout>
        <c:manualLayout>
          <c:xMode val="edge"/>
          <c:yMode val="edge"/>
          <c:x val="0.626774847870183"/>
          <c:y val="0.0173160173160173"/>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390134529148"/>
          <c:y val="0.077319587628866"/>
          <c:w val="0.878923766816144"/>
          <c:h val="0.652954074520669"/>
        </c:manualLayout>
      </c:layout>
      <c:lineChart>
        <c:grouping val="standard"/>
        <c:varyColors val="0"/>
        <c:ser>
          <c:idx val="0"/>
          <c:order val="0"/>
          <c:tx>
            <c:strRef>
              <c:f>'6'!$B$1</c:f>
              <c:strCache>
                <c:ptCount val="1"/>
                <c:pt idx="0">
                  <c:v>累计增幅</c:v>
                </c:pt>
              </c:strCache>
            </c:strRef>
          </c:tx>
          <c:spPr>
            <a:ln w="22225"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1"/>
              <c:layout>
                <c:manualLayout>
                  <c:x val="-0.0627519183458268"/>
                  <c:y val="-0.039034092657099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477516962384169"/>
                  <c:y val="-0.05615957320852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0.0218340611353712"/>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318723838896579"/>
                  <c:y val="-0.056500839235842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37707751034164"/>
                  <c:y val="-0.032995967336148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165965694408779"/>
                  <c:y val="0.037214990632595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290315845350792"/>
                  <c:y val="0.051610845295053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'6'!$A$2:$A$13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'6'!$B$2:$B$13</c:f>
              <c:numCache>
                <c:formatCode>0.0_ </c:formatCode>
                <c:ptCount val="12"/>
                <c:pt idx="0">
                  <c:v>13.8</c:v>
                </c:pt>
                <c:pt idx="1">
                  <c:v>9.7</c:v>
                </c:pt>
                <c:pt idx="2">
                  <c:v>9</c:v>
                </c:pt>
                <c:pt idx="3">
                  <c:v>8.5</c:v>
                </c:pt>
                <c:pt idx="4">
                  <c:v>4.9</c:v>
                </c:pt>
                <c:pt idx="5">
                  <c:v>2.5</c:v>
                </c:pt>
                <c:pt idx="6">
                  <c:v>4.7</c:v>
                </c:pt>
                <c:pt idx="7">
                  <c:v>0.5</c:v>
                </c:pt>
                <c:pt idx="8">
                  <c:v>1.1</c:v>
                </c:pt>
                <c:pt idx="9">
                  <c:v>1.9</c:v>
                </c:pt>
                <c:pt idx="10">
                  <c:v>11.1</c:v>
                </c:pt>
                <c:pt idx="11">
                  <c:v>14.6</c:v>
                </c:pt>
              </c:numCache>
            </c:numRef>
          </c:val>
          <c:smooth val="0"/>
        </c:ser>
        <c:dLbls>
          <c:showLegendKey val="0"/>
          <c:showVal val="1"/>
          <c:showCatName val="0"/>
          <c:showSerName val="0"/>
          <c:showPercent val="0"/>
          <c:showBubbleSize val="0"/>
        </c:dLbls>
        <c:marker val="1"/>
        <c:smooth val="0"/>
        <c:axId val="74542080"/>
        <c:axId val="74572928"/>
      </c:lineChart>
      <c:catAx>
        <c:axId val="74542080"/>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572928"/>
        <c:crosses val="autoZero"/>
        <c:auto val="1"/>
        <c:lblAlgn val="ctr"/>
        <c:lblOffset val="100"/>
        <c:noMultiLvlLbl val="0"/>
      </c:catAx>
      <c:valAx>
        <c:axId val="74572928"/>
        <c:scaling>
          <c:orientation val="minMax"/>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542080"/>
        <c:crosses val="autoZero"/>
        <c:crossBetween val="between"/>
      </c:valAx>
      <c:spPr>
        <a:solidFill>
          <a:srgbClr val="E6F6FD"/>
        </a:solidFill>
        <a:ln w="25400">
          <a:noFill/>
        </a:ln>
      </c:spPr>
    </c:plotArea>
    <c:legend>
      <c:legendPos val="t"/>
      <c:layout>
        <c:manualLayout>
          <c:xMode val="edge"/>
          <c:yMode val="edge"/>
          <c:x val="0.624363033691189"/>
          <c:y val="0.00873362445414847"/>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61122379986477"/>
          <c:y val="0.164502164502165"/>
          <c:w val="0.862204192021636"/>
          <c:h val="0.553477633477634"/>
        </c:manualLayout>
      </c:layout>
      <c:lineChart>
        <c:grouping val="standard"/>
        <c:varyColors val="0"/>
        <c:ser>
          <c:idx val="0"/>
          <c:order val="0"/>
          <c:tx>
            <c:strRef>
              <c:f>'6'!$B$21</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378368889361857"/>
                  <c:y val="-0.05628282828282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30469078527037"/>
                  <c:y val="-0.06874240719910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0405679513184584"/>
                  <c:y val="0.021645021645021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428615411837566"/>
                  <c:y val="-0.06926984126984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28615411837566"/>
                  <c:y val="-0.043873015873015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398652865021086"/>
                  <c:y val="-0.050222222222222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515034099439397"/>
                  <c:y val="-0.058044753975131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'6'!$A$22:$A$33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'6'!$B$22:$B$33</c:f>
              <c:numCache>
                <c:formatCode>0.0_ </c:formatCode>
                <c:ptCount val="12"/>
                <c:pt idx="0">
                  <c:v>12.5</c:v>
                </c:pt>
                <c:pt idx="1">
                  <c:v>9.3</c:v>
                </c:pt>
                <c:pt idx="2">
                  <c:v>7.4</c:v>
                </c:pt>
                <c:pt idx="3">
                  <c:v>5.8</c:v>
                </c:pt>
                <c:pt idx="4">
                  <c:v>2.1</c:v>
                </c:pt>
                <c:pt idx="5">
                  <c:v>-0.3</c:v>
                </c:pt>
                <c:pt idx="6">
                  <c:v>2.8</c:v>
                </c:pt>
                <c:pt idx="7">
                  <c:v>-1.8</c:v>
                </c:pt>
                <c:pt idx="8">
                  <c:v>-1</c:v>
                </c:pt>
                <c:pt idx="9">
                  <c:v>-0.1</c:v>
                </c:pt>
                <c:pt idx="10">
                  <c:v>7.4</c:v>
                </c:pt>
                <c:pt idx="11">
                  <c:v>12.9</c:v>
                </c:pt>
              </c:numCache>
            </c:numRef>
          </c:val>
          <c:smooth val="0"/>
        </c:ser>
        <c:dLbls>
          <c:showLegendKey val="0"/>
          <c:showVal val="1"/>
          <c:showCatName val="0"/>
          <c:showSerName val="0"/>
          <c:showPercent val="0"/>
          <c:showBubbleSize val="0"/>
        </c:dLbls>
        <c:marker val="1"/>
        <c:smooth val="0"/>
        <c:axId val="74667136"/>
        <c:axId val="74669056"/>
      </c:lineChart>
      <c:catAx>
        <c:axId val="74667136"/>
        <c:scaling>
          <c:orientation val="minMax"/>
        </c:scaling>
        <c:delete val="0"/>
        <c:axPos val="b"/>
        <c:numFmt formatCode="General" sourceLinked="1"/>
        <c:majorTickMark val="in"/>
        <c:minorTickMark val="none"/>
        <c:tickLblPos val="low"/>
        <c:spPr>
          <a:noFill/>
          <a:effectLst/>
        </c:spPr>
        <c:txPr>
          <a:bodyPr rot="-60000000" spcFirstLastPara="1" vertOverflow="ellipsis" vert="horz" wrap="square" anchor="t" anchorCtr="0"/>
          <a:lstStyle/>
          <a:p>
            <a:pPr>
              <a:defRPr lang="zh-CN" sz="800" b="0" i="0" u="none" strike="noStrike" kern="1200" baseline="0">
                <a:solidFill>
                  <a:sysClr val="windowText" lastClr="000000"/>
                </a:solidFill>
                <a:latin typeface="+mn-lt"/>
                <a:ea typeface="+mn-ea"/>
                <a:cs typeface="+mn-cs"/>
              </a:defRPr>
            </a:pPr>
          </a:p>
        </c:txPr>
        <c:crossAx val="74669056"/>
        <c:crosses val="autoZero"/>
        <c:auto val="1"/>
        <c:lblAlgn val="ctr"/>
        <c:lblOffset val="100"/>
        <c:noMultiLvlLbl val="0"/>
      </c:catAx>
      <c:valAx>
        <c:axId val="74669056"/>
        <c:scaling>
          <c:orientation val="minMax"/>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667136"/>
        <c:crosses val="autoZero"/>
        <c:crossBetween val="between"/>
      </c:valAx>
      <c:spPr>
        <a:solidFill>
          <a:srgbClr val="E6F6FD"/>
        </a:solidFill>
        <a:ln w="25400">
          <a:noFill/>
        </a:ln>
      </c:spPr>
    </c:plotArea>
    <c:legend>
      <c:legendPos val="t"/>
      <c:layout>
        <c:manualLayout>
          <c:xMode val="edge"/>
          <c:yMode val="edge"/>
          <c:x val="0.770588235294117"/>
          <c:y val="0.0086580086580086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831578947368"/>
          <c:y val="0.0789551795785099"/>
          <c:w val="0.780821592442645"/>
          <c:h val="0.498604927278124"/>
        </c:manualLayout>
      </c:layout>
      <c:barChart>
        <c:barDir val="col"/>
        <c:grouping val="clustered"/>
        <c:varyColors val="0"/>
        <c:ser>
          <c:idx val="2"/>
          <c:order val="2"/>
          <c:tx>
            <c:strRef>
              <c:f>'7'!$E$1</c:f>
              <c:strCache>
                <c:ptCount val="1"/>
                <c:pt idx="0">
                  <c:v>累计总量</c:v>
                </c:pt>
              </c:strCache>
            </c:strRef>
          </c:tx>
          <c:spPr>
            <a:solidFill>
              <a:srgbClr val="9EDBDB"/>
            </a:solidFill>
          </c:spPr>
          <c:invertIfNegative val="0"/>
          <c:dLbls>
            <c:delete val="1"/>
          </c:dLbls>
          <c:cat>
            <c:strRef>
              <c:f>'7'!$B$2:$B$13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'7'!$E$2:$E$13</c:f>
              <c:numCache>
                <c:formatCode>0_ </c:formatCode>
                <c:ptCount val="12"/>
                <c:pt idx="0">
                  <c:v>1673.48444</c:v>
                </c:pt>
                <c:pt idx="1">
                  <c:v>2281.15487510931</c:v>
                </c:pt>
                <c:pt idx="2">
                  <c:v>3001.9068</c:v>
                </c:pt>
                <c:pt idx="3">
                  <c:v>3723.77642</c:v>
                </c:pt>
                <c:pt idx="4">
                  <c:v>4313.06942</c:v>
                </c:pt>
                <c:pt idx="5">
                  <c:v>4939.31192</c:v>
                </c:pt>
                <c:pt idx="6">
                  <c:v>5581.03542</c:v>
                </c:pt>
                <c:pt idx="7">
                  <c:v>6353.55522</c:v>
                </c:pt>
                <c:pt idx="8">
                  <c:v>7131.27002</c:v>
                </c:pt>
                <c:pt idx="9">
                  <c:v>7883.82</c:v>
                </c:pt>
                <c:pt idx="10">
                  <c:v>1424.3829</c:v>
                </c:pt>
                <c:pt idx="11">
                  <c:v>2074.557</c:v>
                </c:pt>
              </c:numCache>
            </c:numRef>
          </c:val>
        </c:ser>
        <c:dLbls>
          <c:showLegendKey val="0"/>
          <c:showVal val="0"/>
          <c:showCatName val="0"/>
          <c:showSerName val="0"/>
          <c:showPercent val="0"/>
          <c:showBubbleSize val="0"/>
        </c:dLbls>
        <c:gapWidth val="150"/>
        <c:overlap val="0"/>
        <c:axId val="74787840"/>
        <c:axId val="74826496"/>
      </c:barChart>
      <c:lineChart>
        <c:grouping val="standard"/>
        <c:varyColors val="0"/>
        <c:ser>
          <c:idx val="0"/>
          <c:order val="0"/>
          <c:tx>
            <c:strRef>
              <c:f>'7'!$C$1</c:f>
              <c:strCache>
                <c:ptCount val="1"/>
                <c:pt idx="0">
                  <c:v>当月增幅</c:v>
                </c:pt>
              </c:strCache>
            </c:strRef>
          </c:tx>
          <c:spPr>
            <a:ln w="28575" cap="rnd" cmpd="sng" algn="ctr">
              <a:solidFill>
                <a:srgbClr val="C00000"/>
              </a:solidFill>
              <a:prstDash val="sysDot"/>
              <a:round/>
            </a:ln>
            <a:effectLst/>
          </c:spPr>
          <c:marker>
            <c:symbol val="circle"/>
            <c:size val="5"/>
            <c:spPr>
              <a:solidFill>
                <a:srgbClr val="C00000"/>
              </a:solidFill>
              <a:ln w="9525" cap="flat" cmpd="sng" algn="ctr">
                <a:solidFill>
                  <a:srgbClr val="FFFFFF"/>
                </a:solidFill>
                <a:prstDash val="solid"/>
                <a:round/>
              </a:ln>
            </c:spPr>
          </c:marker>
          <c:dLbls>
            <c:delete val="1"/>
          </c:dLbls>
          <c:cat>
            <c:strRef>
              <c:f>'7'!$B$2:$B$13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'7'!$C$2:$C$13</c:f>
              <c:numCache>
                <c:formatCode>0.0_ </c:formatCode>
                <c:ptCount val="12"/>
                <c:pt idx="0">
                  <c:v>-4.99195156121496</c:v>
                </c:pt>
                <c:pt idx="1">
                  <c:v>-3.20178517652194</c:v>
                </c:pt>
                <c:pt idx="2">
                  <c:v>7.16891727026321</c:v>
                </c:pt>
                <c:pt idx="3">
                  <c:v>-3.49392013920125</c:v>
                </c:pt>
                <c:pt idx="4">
                  <c:v>4.89444897012947</c:v>
                </c:pt>
                <c:pt idx="5">
                  <c:v>3.77194566836624</c:v>
                </c:pt>
                <c:pt idx="6">
                  <c:v>10.2504605627223</c:v>
                </c:pt>
                <c:pt idx="7">
                  <c:v>11.2608024629126</c:v>
                </c:pt>
                <c:pt idx="8">
                  <c:v>-0.83018234683324</c:v>
                </c:pt>
                <c:pt idx="9">
                  <c:v>4.6</c:v>
                </c:pt>
                <c:pt idx="11">
                  <c:v>5.2506370578536</c:v>
                </c:pt>
              </c:numCache>
            </c:numRef>
          </c:val>
          <c:smooth val="0"/>
        </c:ser>
        <c:ser>
          <c:idx val="1"/>
          <c:order val="1"/>
          <c:tx>
            <c:strRef>
              <c:f>'7'!$D$1</c:f>
              <c:strCache>
                <c:ptCount val="1"/>
                <c:pt idx="0">
                  <c:v>累计增幅</c:v>
                </c:pt>
              </c:strCache>
            </c:strRef>
          </c:tx>
          <c:spPr>
            <a:ln w="28575" cap="rnd" cmpd="sng" algn="ctr">
              <a:solidFill>
                <a:schemeClr val="accent2"/>
              </a:solidFill>
              <a:prstDash val="solid"/>
              <a:round/>
            </a:ln>
            <a:effectLst/>
          </c:spPr>
          <c:marker>
            <c:symbol val="triangle"/>
            <c:size val="5"/>
            <c:spPr>
              <a:solidFill>
                <a:schemeClr val="accent2"/>
              </a:solidFill>
              <a:ln w="9525" cap="flat" cmpd="sng" algn="ctr">
                <a:solidFill>
                  <a:schemeClr val="accent2"/>
                </a:solidFill>
                <a:prstDash val="solid"/>
                <a:round/>
              </a:ln>
              <a:effectLst/>
            </c:spPr>
          </c:marker>
          <c:dLbls>
            <c:delete val="1"/>
          </c:dLbls>
          <c:cat>
            <c:strRef>
              <c:f>'7'!$B$2:$B$13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'7'!$D$2:$D$13</c:f>
              <c:numCache>
                <c:formatCode>0.0_ </c:formatCode>
                <c:ptCount val="12"/>
                <c:pt idx="0">
                  <c:v>-0.220530746017246</c:v>
                </c:pt>
                <c:pt idx="1">
                  <c:v>-1.03249629571819</c:v>
                </c:pt>
                <c:pt idx="2">
                  <c:v>0.819995623833009</c:v>
                </c:pt>
                <c:pt idx="3">
                  <c:v>-0.0461647085373329</c:v>
                </c:pt>
                <c:pt idx="4">
                  <c:v>0.601249868461622</c:v>
                </c:pt>
                <c:pt idx="5">
                  <c:v>0.992473775574879</c:v>
                </c:pt>
                <c:pt idx="6">
                  <c:v>1.97711421522175</c:v>
                </c:pt>
                <c:pt idx="7">
                  <c:v>3.02232168192451</c:v>
                </c:pt>
                <c:pt idx="8">
                  <c:v>2.58769902879811</c:v>
                </c:pt>
                <c:pt idx="9">
                  <c:v>2.78004875921162</c:v>
                </c:pt>
                <c:pt idx="10">
                  <c:v>6.7963039449876</c:v>
                </c:pt>
                <c:pt idx="11">
                  <c:v>6.30702399011722</c:v>
                </c:pt>
              </c:numCache>
            </c:numRef>
          </c:val>
          <c:smooth val="0"/>
        </c:ser>
        <c:dLbls>
          <c:showLegendKey val="0"/>
          <c:showVal val="1"/>
          <c:showCatName val="0"/>
          <c:showSerName val="0"/>
          <c:showPercent val="0"/>
          <c:showBubbleSize val="0"/>
        </c:dLbls>
        <c:marker val="1"/>
        <c:smooth val="0"/>
        <c:axId val="74644864"/>
        <c:axId val="74786304"/>
      </c:lineChart>
      <c:catAx>
        <c:axId val="74644864"/>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786304"/>
        <c:crossesAt val="-15"/>
        <c:auto val="1"/>
        <c:lblAlgn val="ctr"/>
        <c:lblOffset val="100"/>
        <c:noMultiLvlLbl val="0"/>
      </c:catAx>
      <c:valAx>
        <c:axId val="74786304"/>
        <c:scaling>
          <c:orientation val="minMax"/>
          <c:min val="-20"/>
        </c:scaling>
        <c:delete val="0"/>
        <c:axPos val="l"/>
        <c:majorGridlines>
          <c:spPr>
            <a:ln w="9525"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644864"/>
        <c:crosses val="autoZero"/>
        <c:crossBetween val="between"/>
        <c:majorUnit val="10"/>
        <c:minorUnit val="5"/>
      </c:valAx>
      <c:catAx>
        <c:axId val="74787840"/>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826496"/>
        <c:crosses val="autoZero"/>
        <c:auto val="1"/>
        <c:lblAlgn val="ctr"/>
        <c:lblOffset val="100"/>
        <c:noMultiLvlLbl val="0"/>
      </c:catAx>
      <c:valAx>
        <c:axId val="74826496"/>
        <c:scaling>
          <c:orientation val="minMax"/>
        </c:scaling>
        <c:delete val="0"/>
        <c:axPos val="r"/>
        <c:numFmt formatCode="[=14]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crossAx val="74787840"/>
        <c:crosses val="max"/>
        <c:crossBetween val="between"/>
        <c:majorUnit val="2000"/>
        <c:minorUnit val="1000"/>
      </c:valAx>
      <c:dTable>
        <c:showHorzBorder val="1"/>
        <c:showVertBorder val="1"/>
        <c:showOutline val="1"/>
        <c:showKeys val="0"/>
        <c:txPr>
          <a:bodyPr rot="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Table>
      <c:spPr>
        <a:solidFill>
          <a:srgbClr val="E6F6FD"/>
        </a:solidFill>
        <a:ln w="25400">
          <a:noFill/>
        </a:ln>
      </c:spPr>
    </c:plotArea>
    <c:legend>
      <c:legendPos val="t"/>
      <c:layout>
        <c:manualLayout>
          <c:xMode val="edge"/>
          <c:yMode val="edge"/>
          <c:x val="0.234008097165992"/>
          <c:y val="0.00890471950133571"/>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4606741573034"/>
          <c:y val="0.0789473684210525"/>
          <c:w val="0.862921348314609"/>
          <c:h val="0.627867958812841"/>
        </c:manualLayout>
      </c:layout>
      <c:barChart>
        <c:barDir val="col"/>
        <c:grouping val="clustered"/>
        <c:varyColors val="0"/>
        <c:ser>
          <c:idx val="1"/>
          <c:order val="1"/>
          <c:tx>
            <c:strRef>
              <c:f>'7'!$D$21</c:f>
              <c:strCache>
                <c:ptCount val="1"/>
                <c:pt idx="0">
                  <c:v>累计总量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'7'!$B$22:$B$33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'7'!$D$22:$D$33</c:f>
              <c:numCache>
                <c:formatCode>0_ </c:formatCode>
                <c:ptCount val="12"/>
                <c:pt idx="0">
                  <c:v>250.60121</c:v>
                </c:pt>
                <c:pt idx="1" c:formatCode="0">
                  <c:v>338.24997</c:v>
                </c:pt>
                <c:pt idx="2" c:formatCode="0">
                  <c:v>471.96155</c:v>
                </c:pt>
                <c:pt idx="3">
                  <c:v>604.09687</c:v>
                </c:pt>
                <c:pt idx="4">
                  <c:v>715.10909</c:v>
                </c:pt>
                <c:pt idx="5">
                  <c:v>849.89558</c:v>
                </c:pt>
                <c:pt idx="6">
                  <c:v>987.03578</c:v>
                </c:pt>
                <c:pt idx="7">
                  <c:v>1127.58101</c:v>
                </c:pt>
                <c:pt idx="8">
                  <c:v>1316.08641</c:v>
                </c:pt>
                <c:pt idx="9">
                  <c:v>1513.96447</c:v>
                </c:pt>
                <c:pt idx="10">
                  <c:v>187.16113</c:v>
                </c:pt>
                <c:pt idx="11">
                  <c:v>297.69809</c:v>
                </c:pt>
              </c:numCache>
            </c:numRef>
          </c:val>
        </c:ser>
        <c:dLbls>
          <c:showLegendKey val="0"/>
          <c:showVal val="1"/>
          <c:showCatName val="0"/>
          <c:showSerName val="0"/>
          <c:showPercent val="0"/>
          <c:showBubbleSize val="0"/>
        </c:dLbls>
        <c:gapWidth val="150"/>
        <c:overlap val="0"/>
        <c:axId val="74867840"/>
        <c:axId val="74869376"/>
      </c:barChart>
      <c:lineChart>
        <c:grouping val="standard"/>
        <c:varyColors val="0"/>
        <c:ser>
          <c:idx val="0"/>
          <c:order val="0"/>
          <c:tx>
            <c:strRef>
              <c:f>'7'!$C$21</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alpha val="97000"/>
                </a:srgbClr>
              </a:solidFill>
              <a:ln w="9525" cap="flat" cmpd="sng" algn="ctr">
                <a:solidFill>
                  <a:srgbClr val="FFFFFF"/>
                </a:solidFill>
                <a:prstDash val="solid"/>
                <a:round/>
              </a:ln>
            </c:spPr>
          </c:marker>
          <c:dLbls>
            <c:dLbl>
              <c:idx val="5"/>
              <c:layout>
                <c:manualLayout>
                  <c:x val="0"/>
                  <c:y val="0.0096961861667743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58577958654045"/>
                  <c:y val="-0.076346153846153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427041788315789"/>
                  <c:y val="-0.063526145770240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0203417412530513"/>
                  <c:y val="0.02424046541693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'7'!$B$22:$B$33</c:f>
              <c:strCache>
                <c:ptCount val="12"/>
                <c:pt idx="0" c:formatCode="yyyy&quot;年&quot;m&quot;月&quot;">
                  <c:v>2024年3月</c:v>
                </c:pt>
                <c:pt idx="1">
                  <c:v>4月</c:v>
                </c:pt>
                <c:pt idx="2">
                  <c:v>5月</c:v>
                </c:pt>
                <c:pt idx="3">
                  <c:v>6月</c:v>
                </c:pt>
                <c:pt idx="4">
                  <c:v>7月</c:v>
                </c:pt>
                <c:pt idx="5">
                  <c:v>8月</c:v>
                </c:pt>
                <c:pt idx="6">
                  <c:v>9月</c:v>
                </c:pt>
                <c:pt idx="7">
                  <c:v>10月</c:v>
                </c:pt>
                <c:pt idx="8">
                  <c:v>11月</c:v>
                </c:pt>
                <c:pt idx="9">
                  <c:v>12月</c:v>
                </c:pt>
                <c:pt idx="10" c:formatCode="yyyy&quot;年&quot;m&quot;月&quot;">
                  <c:v>2025年2月</c:v>
                </c:pt>
                <c:pt idx="11" c:formatCode="yyyy&quot;年&quot;m&quot;月&quot;">
                  <c:v>3月</c:v>
                </c:pt>
              </c:strCache>
            </c:strRef>
          </c:cat>
          <c:val>
            <c:numRef>
              <c:f>'7'!$C$22:$C$33</c:f>
              <c:numCache>
                <c:formatCode>0.0_ </c:formatCode>
                <c:ptCount val="12"/>
                <c:pt idx="0">
                  <c:v>-17.5</c:v>
                </c:pt>
                <c:pt idx="1" c:formatCode="0.0">
                  <c:v>-17.8</c:v>
                </c:pt>
                <c:pt idx="2" c:formatCode="0.0">
                  <c:v>-9.5</c:v>
                </c:pt>
                <c:pt idx="3">
                  <c:v>-11.5</c:v>
                </c:pt>
                <c:pt idx="4">
                  <c:v>-8.1</c:v>
                </c:pt>
                <c:pt idx="5">
                  <c:v>-4.3</c:v>
                </c:pt>
                <c:pt idx="6">
                  <c:v>-0.9</c:v>
                </c:pt>
                <c:pt idx="7">
                  <c:v>1.9</c:v>
                </c:pt>
                <c:pt idx="8">
                  <c:v>3.1</c:v>
                </c:pt>
                <c:pt idx="9">
                  <c:v>2.4</c:v>
                </c:pt>
                <c:pt idx="10">
                  <c:v>29.4</c:v>
                </c:pt>
                <c:pt idx="11">
                  <c:v>16.8</c:v>
                </c:pt>
              </c:numCache>
            </c:numRef>
          </c:val>
          <c:smooth val="0"/>
        </c:ser>
        <c:dLbls>
          <c:showLegendKey val="0"/>
          <c:showVal val="1"/>
          <c:showCatName val="0"/>
          <c:showSerName val="0"/>
          <c:showPercent val="0"/>
          <c:showBubbleSize val="0"/>
        </c:dLbls>
        <c:marker val="1"/>
        <c:smooth val="0"/>
        <c:axId val="74851840"/>
        <c:axId val="74853760"/>
      </c:lineChart>
      <c:catAx>
        <c:axId val="74851840"/>
        <c:scaling>
          <c:orientation val="minMax"/>
        </c:scaling>
        <c:delete val="0"/>
        <c:axPos val="b"/>
        <c:numFmt formatCode="General" sourceLinked="1"/>
        <c:majorTickMark val="none"/>
        <c:minorTickMark val="in"/>
        <c:tickLblPos val="low"/>
        <c:spPr>
          <a:noFill/>
          <a:effectLst/>
        </c:spPr>
        <c:txPr>
          <a:bodyPr rot="-60000000" spcFirstLastPara="1" vertOverflow="ellipsis" vert="horz" wrap="square" anchor="ctr" anchorCtr="1"/>
          <a:lstStyle/>
          <a:p>
            <a:pPr>
              <a:defRPr lang="zh-CN" sz="900" b="0" i="0" u="none" strike="noStrike" kern="1200" cap="none" spc="0" normalizeH="0" baseline="0">
                <a:solidFill>
                  <a:sysClr val="windowText" lastClr="000000"/>
                </a:solidFill>
                <a:uFillTx/>
                <a:latin typeface="+mn-lt"/>
                <a:ea typeface="+mn-ea"/>
                <a:cs typeface="+mn-cs"/>
              </a:defRPr>
            </a:pPr>
          </a:p>
        </c:txPr>
        <c:crossAx val="74853760"/>
        <c:crosses val="autoZero"/>
        <c:auto val="1"/>
        <c:lblAlgn val="ctr"/>
        <c:lblOffset val="100"/>
        <c:noMultiLvlLbl val="0"/>
      </c:catAx>
      <c:valAx>
        <c:axId val="74853760"/>
        <c:scaling>
          <c:orientation val="minMax"/>
        </c:scaling>
        <c:delete val="0"/>
        <c:axPos val="l"/>
        <c:majorGridlines>
          <c:spPr>
            <a:ln w="9525" cap="flat" cmpd="sng" algn="ctr">
              <a:solidFill>
                <a:sysClr val="window" lastClr="FFFFFF">
                  <a:alpha val="96000"/>
                </a:sysClr>
              </a:solidFill>
              <a:prstDash val="solid"/>
              <a:round/>
            </a:ln>
            <a:effectLst/>
          </c:spPr>
        </c:majorGridlines>
        <c:numFmt formatCode="0.0_ "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74851840"/>
        <c:crosses val="autoZero"/>
        <c:crossBetween val="between"/>
        <c:majorUnit val="15"/>
      </c:valAx>
      <c:catAx>
        <c:axId val="74867840"/>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4869376"/>
        <c:crosses val="autoZero"/>
        <c:auto val="1"/>
        <c:lblAlgn val="ctr"/>
        <c:lblOffset val="100"/>
        <c:noMultiLvlLbl val="0"/>
      </c:catAx>
      <c:valAx>
        <c:axId val="74869376"/>
        <c:scaling>
          <c:orientation val="minMax"/>
          <c:max val="1700"/>
          <c:min val="0"/>
        </c:scaling>
        <c:delete val="0"/>
        <c:axPos val="r"/>
        <c:numFmt formatCode="[=3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crossAx val="74867840"/>
        <c:crosses val="max"/>
        <c:crossBetween val="between"/>
        <c:majorUnit val="500"/>
        <c:minorUnit val="500"/>
      </c:valAx>
      <c:spPr>
        <a:solidFill>
          <a:srgbClr val="E6F6FD"/>
        </a:solidFill>
        <a:ln w="25400">
          <a:noFill/>
        </a:ln>
      </c:spPr>
    </c:plotArea>
    <c:legend>
      <c:legendPos val="t"/>
      <c:layout>
        <c:manualLayout>
          <c:xMode val="edge"/>
          <c:yMode val="edge"/>
          <c:x val="0.416598860862489"/>
          <c:y val="0.009696186166774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0821389195149"/>
          <c:y val="0.0616854908774978"/>
          <c:w val="0.858048511576627"/>
          <c:h val="0.629829134086304"/>
        </c:manualLayout>
      </c:layout>
      <c:barChart>
        <c:barDir val="col"/>
        <c:grouping val="clustered"/>
        <c:varyColors val="0"/>
        <c:ser>
          <c:idx val="1"/>
          <c:order val="1"/>
          <c:tx>
            <c:strRef>
              <c:f>'8'!$D$1</c:f>
              <c:strCache>
                <c:ptCount val="1"/>
                <c:pt idx="0">
                  <c:v>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'8'!$B$2:$B$10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'8'!$D$2:$D$10</c:f>
              <c:numCache>
                <c:formatCode>0_ </c:formatCode>
                <c:ptCount val="9"/>
                <c:pt idx="0">
                  <c:v>25062</c:v>
                </c:pt>
                <c:pt idx="1">
                  <c:v>45489</c:v>
                </c:pt>
                <c:pt idx="2">
                  <c:v>65408</c:v>
                </c:pt>
                <c:pt idx="3" c:formatCode="General">
                  <c:v>80587</c:v>
                </c:pt>
                <c:pt idx="4" c:formatCode="General">
                  <c:v>26188</c:v>
                </c:pt>
                <c:pt idx="5">
                  <c:v>47004</c:v>
                </c:pt>
                <c:pt idx="6" c:formatCode="General">
                  <c:v>67596</c:v>
                </c:pt>
                <c:pt idx="7" c:formatCode="General">
                  <c:v>83356</c:v>
                </c:pt>
                <c:pt idx="8" c:formatCode="0">
                  <c:v>27272</c:v>
                </c:pt>
              </c:numCache>
            </c:numRef>
          </c:val>
        </c:ser>
        <c:dLbls>
          <c:showLegendKey val="0"/>
          <c:showVal val="1"/>
          <c:showCatName val="0"/>
          <c:showSerName val="0"/>
          <c:showPercent val="0"/>
          <c:showBubbleSize val="0"/>
        </c:dLbls>
        <c:gapWidth val="150"/>
        <c:axId val="250329077"/>
        <c:axId val="340184441"/>
      </c:barChart>
      <c:lineChart>
        <c:grouping val="standard"/>
        <c:varyColors val="0"/>
        <c:ser>
          <c:idx val="0"/>
          <c:order val="0"/>
          <c:tx>
            <c:strRef>
              <c:f>'8'!$C$1</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5"/>
              <c:layout>
                <c:manualLayout>
                  <c:x val="-0.0431389212546121"/>
                  <c:y val="-0.075694031069082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'8'!$B$2:$B$10</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'8'!$C$2:$C$10</c:f>
              <c:numCache>
                <c:formatCode>0.0_ </c:formatCode>
                <c:ptCount val="9"/>
                <c:pt idx="0">
                  <c:v>3.78929059510497</c:v>
                </c:pt>
                <c:pt idx="1">
                  <c:v>5</c:v>
                </c:pt>
                <c:pt idx="2">
                  <c:v>5</c:v>
                </c:pt>
                <c:pt idx="3">
                  <c:v>4.6</c:v>
                </c:pt>
                <c:pt idx="4" c:formatCode="General">
                  <c:v>4.5</c:v>
                </c:pt>
                <c:pt idx="5">
                  <c:v>3.3</c:v>
                </c:pt>
                <c:pt idx="6" c:formatCode="General">
                  <c:v>3.3</c:v>
                </c:pt>
                <c:pt idx="7">
                  <c:v>3.4</c:v>
                </c:pt>
                <c:pt idx="8" c:formatCode="0.0">
                  <c:v>4.1</c:v>
                </c:pt>
              </c:numCache>
            </c:numRef>
          </c:val>
          <c:smooth val="0"/>
        </c:ser>
        <c:dLbls>
          <c:showLegendKey val="0"/>
          <c:showVal val="1"/>
          <c:showCatName val="0"/>
          <c:showSerName val="0"/>
          <c:showPercent val="0"/>
          <c:showBubbleSize val="0"/>
        </c:dLbls>
        <c:marker val="1"/>
        <c:smooth val="0"/>
        <c:axId val="210477824"/>
        <c:axId val="210480128"/>
      </c:lineChart>
      <c:catAx>
        <c:axId val="210477824"/>
        <c:scaling>
          <c:orientation val="minMax"/>
        </c:scaling>
        <c:delete val="0"/>
        <c:axPos val="b"/>
        <c:numFmt formatCode="General" sourceLinked="1"/>
        <c:majorTickMark val="none"/>
        <c:minorTickMark val="in"/>
        <c:tickLblPos val="low"/>
        <c:spPr>
          <a:noFill/>
          <a:effectLst/>
        </c:spPr>
        <c:txPr>
          <a:bodyPr rot="-27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10480128"/>
        <c:crosses val="autoZero"/>
        <c:auto val="1"/>
        <c:lblAlgn val="ctr"/>
        <c:lblOffset val="0"/>
        <c:noMultiLvlLbl val="0"/>
      </c:catAx>
      <c:valAx>
        <c:axId val="210480128"/>
        <c:scaling>
          <c:orientation val="minMax"/>
          <c:max val="15"/>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10477824"/>
        <c:crosses val="autoZero"/>
        <c:crossBetween val="between"/>
        <c:majorUnit val="5"/>
      </c:valAx>
      <c:catAx>
        <c:axId val="250329077"/>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340184441"/>
        <c:crosses val="autoZero"/>
        <c:auto val="1"/>
        <c:lblAlgn val="ctr"/>
        <c:lblOffset val="100"/>
        <c:noMultiLvlLbl val="0"/>
      </c:catAx>
      <c:valAx>
        <c:axId val="340184441"/>
        <c:scaling>
          <c:orientation val="minMax"/>
        </c:scaling>
        <c:delete val="0"/>
        <c:axPos val="r"/>
        <c:numFmt formatCode="0_);[Red]\(0\)" sourceLinked="0"/>
        <c:majorTickMark val="in"/>
        <c:minorTickMark val="none"/>
        <c:tickLblPos val="nextTo"/>
        <c:spPr>
          <a:ln w="9525" cap="flat" cmpd="sng" algn="ctr">
            <a:solidFill>
              <a:schemeClr val="tx1">
                <a:tint val="75000"/>
                <a:shade val="95000"/>
                <a:satMod val="105000"/>
                <a:alpha val="97000"/>
              </a:schemeClr>
            </a:solidFill>
            <a:prstDash val="solid"/>
            <a:round/>
          </a:ln>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50329077"/>
        <c:crosses val="max"/>
        <c:crossBetween val="between"/>
        <c:majorUnit val="20000"/>
        <c:minorUnit val="1000"/>
      </c:valAx>
      <c:spPr>
        <a:solidFill>
          <a:srgbClr val="E6F6FD"/>
        </a:solidFill>
        <a:ln w="25400">
          <a:noFill/>
        </a:ln>
      </c:spPr>
    </c:plotArea>
    <c:legend>
      <c:legendPos val="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externalData r:id="rId1">
    <c:autoUpdate val="0"/>
  </c:externalData>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0821389195149"/>
          <c:y val="0.0616854908774978"/>
          <c:w val="0.858048511576627"/>
          <c:h val="0.629829134086304"/>
        </c:manualLayout>
      </c:layout>
      <c:barChart>
        <c:barDir val="col"/>
        <c:grouping val="clustered"/>
        <c:varyColors val="0"/>
        <c:ser>
          <c:idx val="1"/>
          <c:order val="1"/>
          <c:tx>
            <c:strRef>
              <c:f>'8'!$D$20</c:f>
              <c:strCache>
                <c:ptCount val="1"/>
                <c:pt idx="0">
                  <c:v>总量</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'8'!$B$21:$B$29</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'8'!$D$21:$D$29</c:f>
              <c:numCache>
                <c:formatCode>0_ </c:formatCode>
                <c:ptCount val="9"/>
                <c:pt idx="0">
                  <c:v>15593</c:v>
                </c:pt>
                <c:pt idx="1">
                  <c:v>25754</c:v>
                </c:pt>
                <c:pt idx="2">
                  <c:v>37176</c:v>
                </c:pt>
                <c:pt idx="3" c:formatCode="General">
                  <c:v>48180</c:v>
                </c:pt>
                <c:pt idx="4" c:formatCode="General">
                  <c:v>16689</c:v>
                </c:pt>
                <c:pt idx="5">
                  <c:v>27172</c:v>
                </c:pt>
                <c:pt idx="6" c:formatCode="General">
                  <c:v>39202</c:v>
                </c:pt>
                <c:pt idx="7" c:formatCode="General">
                  <c:v>50805</c:v>
                </c:pt>
                <c:pt idx="8" c:formatCode="0">
                  <c:v>17513</c:v>
                </c:pt>
              </c:numCache>
            </c:numRef>
          </c:val>
        </c:ser>
        <c:dLbls>
          <c:showLegendKey val="0"/>
          <c:showVal val="1"/>
          <c:showCatName val="0"/>
          <c:showSerName val="0"/>
          <c:showPercent val="0"/>
          <c:showBubbleSize val="0"/>
        </c:dLbls>
        <c:gapWidth val="150"/>
        <c:axId val="250329077"/>
        <c:axId val="340184441"/>
      </c:barChart>
      <c:lineChart>
        <c:grouping val="standard"/>
        <c:varyColors val="0"/>
        <c:ser>
          <c:idx val="0"/>
          <c:order val="0"/>
          <c:tx>
            <c:strRef>
              <c:f>'8'!$C$20</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5"/>
              <c:layout>
                <c:manualLayout>
                  <c:x val="-0.0431389212546121"/>
                  <c:y val="-0.075694031069082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chemeClr val="tx1"/>
                    </a:solidFill>
                    <a:uFill>
                      <a:solidFill>
                        <a:schemeClr val="tx1"/>
                      </a:solidFill>
                    </a:uFill>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'8'!$B$21:$B$29</c:f>
              <c:strCache>
                <c:ptCount val="9"/>
                <c:pt idx="0">
                  <c:v>2023年1季度</c:v>
                </c:pt>
                <c:pt idx="1">
                  <c:v>上半年</c:v>
                </c:pt>
                <c:pt idx="2">
                  <c:v>前三季度</c:v>
                </c:pt>
                <c:pt idx="3">
                  <c:v>全年</c:v>
                </c:pt>
                <c:pt idx="4">
                  <c:v>2024年1季度</c:v>
                </c:pt>
                <c:pt idx="5">
                  <c:v>上半年</c:v>
                </c:pt>
                <c:pt idx="6">
                  <c:v>前三季度</c:v>
                </c:pt>
                <c:pt idx="7">
                  <c:v>全年</c:v>
                </c:pt>
                <c:pt idx="8">
                  <c:v>2025年1季度</c:v>
                </c:pt>
              </c:strCache>
            </c:strRef>
          </c:cat>
          <c:val>
            <c:numRef>
              <c:f>'8'!$C$21:$C$29</c:f>
              <c:numCache>
                <c:formatCode>0.0_ </c:formatCode>
                <c:ptCount val="9"/>
                <c:pt idx="0">
                  <c:v>5.23722750894242</c:v>
                </c:pt>
                <c:pt idx="1">
                  <c:v>7</c:v>
                </c:pt>
                <c:pt idx="2">
                  <c:v>7.1</c:v>
                </c:pt>
                <c:pt idx="3">
                  <c:v>6.6</c:v>
                </c:pt>
                <c:pt idx="4">
                  <c:v>7</c:v>
                </c:pt>
                <c:pt idx="5">
                  <c:v>5.50594082472626</c:v>
                </c:pt>
                <c:pt idx="6" c:formatCode="General">
                  <c:v>5.4</c:v>
                </c:pt>
                <c:pt idx="7">
                  <c:v>5.4</c:v>
                </c:pt>
                <c:pt idx="8" c:formatCode="0.0">
                  <c:v>4.9</c:v>
                </c:pt>
              </c:numCache>
            </c:numRef>
          </c:val>
          <c:smooth val="0"/>
        </c:ser>
        <c:dLbls>
          <c:showLegendKey val="0"/>
          <c:showVal val="1"/>
          <c:showCatName val="0"/>
          <c:showSerName val="0"/>
          <c:showPercent val="0"/>
          <c:showBubbleSize val="0"/>
        </c:dLbls>
        <c:marker val="1"/>
        <c:smooth val="0"/>
        <c:axId val="210477824"/>
        <c:axId val="210480128"/>
      </c:lineChart>
      <c:catAx>
        <c:axId val="210477824"/>
        <c:scaling>
          <c:orientation val="minMax"/>
        </c:scaling>
        <c:delete val="0"/>
        <c:axPos val="b"/>
        <c:numFmt formatCode="General" sourceLinked="1"/>
        <c:majorTickMark val="none"/>
        <c:minorTickMark val="in"/>
        <c:tickLblPos val="low"/>
        <c:spPr>
          <a:noFill/>
          <a:effectLst/>
        </c:spPr>
        <c:txPr>
          <a:bodyPr rot="-2700000" spcFirstLastPara="1"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10480128"/>
        <c:crosses val="autoZero"/>
        <c:auto val="1"/>
        <c:lblAlgn val="ctr"/>
        <c:lblOffset val="0"/>
        <c:noMultiLvlLbl val="0"/>
      </c:catAx>
      <c:valAx>
        <c:axId val="210480128"/>
        <c:scaling>
          <c:orientation val="minMax"/>
          <c:max val="20"/>
        </c:scaling>
        <c:delete val="0"/>
        <c:axPos val="l"/>
        <c:majorGridlines>
          <c:spPr>
            <a:ln w="9525"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10477824"/>
        <c:crosses val="autoZero"/>
        <c:crossBetween val="between"/>
        <c:majorUnit val="5"/>
      </c:valAx>
      <c:catAx>
        <c:axId val="250329077"/>
        <c:scaling>
          <c:orientation val="minMax"/>
        </c:scaling>
        <c:delete val="1"/>
        <c:axPos val="b"/>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340184441"/>
        <c:crosses val="autoZero"/>
        <c:auto val="1"/>
        <c:lblAlgn val="ctr"/>
        <c:lblOffset val="100"/>
        <c:noMultiLvlLbl val="0"/>
      </c:catAx>
      <c:valAx>
        <c:axId val="340184441"/>
        <c:scaling>
          <c:orientation val="minMax"/>
        </c:scaling>
        <c:delete val="0"/>
        <c:axPos val="r"/>
        <c:numFmt formatCode="0_);[Red]\(0\)" sourceLinked="0"/>
        <c:majorTickMark val="in"/>
        <c:minorTickMark val="none"/>
        <c:tickLblPos val="nextTo"/>
        <c:spPr>
          <a:ln w="9525" cap="flat" cmpd="sng" algn="ctr">
            <a:solidFill>
              <a:schemeClr val="tx1">
                <a:tint val="75000"/>
                <a:shade val="95000"/>
                <a:satMod val="105000"/>
                <a:alpha val="97000"/>
              </a:schemeClr>
            </a:solidFill>
            <a:prstDash val="solid"/>
            <a:round/>
          </a:ln>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250329077"/>
        <c:crosses val="max"/>
        <c:crossBetween val="between"/>
        <c:majorUnit val="20000"/>
        <c:minorUnit val="1000"/>
      </c:valAx>
      <c:spPr>
        <a:solidFill>
          <a:srgbClr val="E6F6FD"/>
        </a:solidFill>
        <a:ln w="25400">
          <a:noFill/>
        </a:ln>
      </c:spPr>
    </c:plotArea>
    <c:legend>
      <c:legendPos val="t"/>
      <c:layout/>
      <c:overlay val="0"/>
      <c:txPr>
        <a:bodyPr rot="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sz="900" u="none" strike="noStrike" kern="1200" cap="none" spc="0" normalizeH="0">
          <a:solidFill>
            <a:schemeClr val="tx1"/>
          </a:solidFill>
          <a:uFill>
            <a:solidFill>
              <a:schemeClr val="tx1"/>
            </a:solidFill>
          </a:uFill>
        </a:defRPr>
      </a:pPr>
    </a:p>
  </c:txPr>
  <c:externalData r:id="rId1">
    <c:autoUpdate val="0"/>
  </c:externalData>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08113590263692"/>
          <c:y val="0.144907146876759"/>
          <c:w val="0.852035158891143"/>
          <c:h val="0.555655599324705"/>
        </c:manualLayout>
      </c:layout>
      <c:barChart>
        <c:barDir val="col"/>
        <c:grouping val="clustered"/>
        <c:varyColors val="0"/>
        <c:ser>
          <c:idx val="1"/>
          <c:order val="1"/>
          <c:tx>
            <c:strRef>
              <c:f>'9'!$D$2</c:f>
              <c:strCache>
                <c:ptCount val="1"/>
                <c:pt idx="0">
                  <c:v>余额</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'9'!$B$3:$B$15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'9'!$D$3:$D$15</c:f>
              <c:numCache>
                <c:formatCode>0.00_ </c:formatCode>
                <c:ptCount val="13"/>
                <c:pt idx="0">
                  <c:v>7.9225</c:v>
                </c:pt>
                <c:pt idx="1">
                  <c:v>7.7057</c:v>
                </c:pt>
                <c:pt idx="2">
                  <c:v>7.6695</c:v>
                </c:pt>
                <c:pt idx="3">
                  <c:v>7.6701</c:v>
                </c:pt>
                <c:pt idx="4">
                  <c:v>7.5995</c:v>
                </c:pt>
                <c:pt idx="5">
                  <c:v>7.7401</c:v>
                </c:pt>
                <c:pt idx="6">
                  <c:v>7.8343</c:v>
                </c:pt>
                <c:pt idx="7">
                  <c:v>7.8064</c:v>
                </c:pt>
                <c:pt idx="8">
                  <c:v>7.9048</c:v>
                </c:pt>
                <c:pt idx="9">
                  <c:v>7.9521</c:v>
                </c:pt>
                <c:pt idx="10">
                  <c:v>7.9479</c:v>
                </c:pt>
                <c:pt idx="11">
                  <c:v>7.9683</c:v>
                </c:pt>
                <c:pt idx="12">
                  <c:v>8.1169</c:v>
                </c:pt>
              </c:numCache>
            </c:numRef>
          </c:val>
        </c:ser>
        <c:dLbls>
          <c:showLegendKey val="0"/>
          <c:showVal val="1"/>
          <c:showCatName val="0"/>
          <c:showSerName val="0"/>
          <c:showPercent val="0"/>
          <c:showBubbleSize val="0"/>
        </c:dLbls>
        <c:gapWidth val="150"/>
        <c:overlap val="0"/>
        <c:axId val="84623744"/>
        <c:axId val="84625280"/>
      </c:barChart>
      <c:lineChart>
        <c:grouping val="standard"/>
        <c:varyColors val="0"/>
        <c:ser>
          <c:idx val="0"/>
          <c:order val="0"/>
          <c:tx>
            <c:strRef>
              <c:f>'9'!$C$2</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spPr>
              <a:noFill/>
              <a:ln>
                <a:noFill/>
              </a:ln>
              <a:effectLst/>
            </c:spPr>
            <c:txPr>
              <a:bodyPr rot="0" spcFirstLastPara="0" vertOverflow="ellipsis" vert="horz" wrap="square" lIns="38100" tIns="19050" rIns="38100" bIns="19050"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'9'!$B$3:$B$15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'9'!$C$3:$C$15</c:f>
              <c:numCache>
                <c:formatCode>0.0_ </c:formatCode>
                <c:ptCount val="13"/>
                <c:pt idx="0">
                  <c:v>7.55</c:v>
                </c:pt>
                <c:pt idx="1">
                  <c:v>4.01</c:v>
                </c:pt>
                <c:pt idx="2">
                  <c:v>3.8</c:v>
                </c:pt>
                <c:pt idx="3">
                  <c:v>0.66</c:v>
                </c:pt>
                <c:pt idx="4">
                  <c:v>-0.56</c:v>
                </c:pt>
                <c:pt idx="5">
                  <c:v>1.28</c:v>
                </c:pt>
                <c:pt idx="6">
                  <c:v>1.8</c:v>
                </c:pt>
                <c:pt idx="7">
                  <c:v>1.68</c:v>
                </c:pt>
                <c:pt idx="8">
                  <c:v>2.13</c:v>
                </c:pt>
                <c:pt idx="9">
                  <c:v>2.49</c:v>
                </c:pt>
                <c:pt idx="10">
                  <c:v>1.42</c:v>
                </c:pt>
                <c:pt idx="11">
                  <c:v>1.1</c:v>
                </c:pt>
                <c:pt idx="12">
                  <c:v>2.45</c:v>
                </c:pt>
              </c:numCache>
            </c:numRef>
          </c:val>
          <c:smooth val="0"/>
        </c:ser>
        <c:dLbls>
          <c:showLegendKey val="0"/>
          <c:showVal val="1"/>
          <c:showCatName val="0"/>
          <c:showSerName val="0"/>
          <c:showPercent val="0"/>
          <c:showBubbleSize val="0"/>
        </c:dLbls>
        <c:marker val="1"/>
        <c:smooth val="0"/>
        <c:axId val="84583168"/>
        <c:axId val="84585088"/>
      </c:lineChart>
      <c:catAx>
        <c:axId val="84583168"/>
        <c:scaling>
          <c:orientation val="minMax"/>
        </c:scaling>
        <c:delete val="0"/>
        <c:axPos val="b"/>
        <c:numFmt formatCode="yyyy&quot;年&quot;m&quot;月&quot;" sourceLinked="1"/>
        <c:majorTickMark val="in"/>
        <c:minorTickMark val="out"/>
        <c:tickLblPos val="low"/>
        <c:spPr>
          <a:noFill/>
          <a:effectLst/>
        </c:spPr>
        <c:txPr>
          <a:bodyPr rot="-60000000" spcFirstLastPara="1" vertOverflow="ellipsis" vert="horz" wrap="square" anchor="ctr" anchorCtr="1"/>
          <a:lstStyle/>
          <a:p>
            <a:pPr>
              <a:defRPr lang="zh-CN" sz="800" b="0" i="0" u="none" strike="noStrike" kern="1200" baseline="0">
                <a:solidFill>
                  <a:sysClr val="windowText" lastClr="000000"/>
                </a:solidFill>
                <a:latin typeface="+mn-lt"/>
                <a:ea typeface="+mn-ea"/>
                <a:cs typeface="+mn-cs"/>
              </a:defRPr>
            </a:pPr>
          </a:p>
        </c:txPr>
        <c:crossAx val="84585088"/>
        <c:crosses val="autoZero"/>
        <c:auto val="1"/>
        <c:lblAlgn val="ctr"/>
        <c:lblOffset val="100"/>
        <c:noMultiLvlLbl val="0"/>
      </c:catAx>
      <c:valAx>
        <c:axId val="84585088"/>
        <c:scaling>
          <c:orientation val="minMax"/>
        </c:scaling>
        <c:delete val="0"/>
        <c:axPos val="l"/>
        <c:majorGridlines>
          <c:spPr>
            <a:ln w="6350" cap="flat" cmpd="sng" algn="ctr">
              <a:solidFill>
                <a:schemeClr val="bg1"/>
              </a:solidFill>
              <a:prstDash val="solid"/>
              <a:round/>
            </a:ln>
            <a:effectLst/>
          </c:spPr>
        </c:majorGridlines>
        <c:numFmt formatCode="0.0_ "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583168"/>
        <c:crosses val="autoZero"/>
        <c:crossBetween val="between"/>
        <c:majorUnit val="4"/>
        <c:minorUnit val="1"/>
      </c:valAx>
      <c:catAx>
        <c:axId val="84623744"/>
        <c:scaling>
          <c:orientation val="minMax"/>
        </c:scaling>
        <c:delete val="1"/>
        <c:axPos val="b"/>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4625280"/>
        <c:crosses val="autoZero"/>
        <c:auto val="1"/>
        <c:lblAlgn val="ctr"/>
        <c:lblOffset val="100"/>
        <c:noMultiLvlLbl val="0"/>
      </c:catAx>
      <c:valAx>
        <c:axId val="84625280"/>
        <c:scaling>
          <c:orientation val="minMax"/>
          <c:max val="10"/>
          <c:min val="0"/>
        </c:scaling>
        <c:delete val="0"/>
        <c:axPos val="r"/>
        <c:numFmt formatCode="[=2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623744"/>
        <c:crosses val="max"/>
        <c:crossBetween val="between"/>
        <c:majorUnit val="2"/>
        <c:minorUnit val="1"/>
      </c:valAx>
      <c:spPr>
        <a:solidFill>
          <a:srgbClr val="E6F6FD"/>
        </a:solidFill>
        <a:ln w="25400">
          <a:noFill/>
        </a:ln>
      </c:spPr>
    </c:plotArea>
    <c:legend>
      <c:legendPos val="t"/>
      <c:layout>
        <c:manualLayout>
          <c:xMode val="edge"/>
          <c:yMode val="edge"/>
          <c:x val="0.371534820824882"/>
          <c:y val="0.0086580086580086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05390835579515"/>
          <c:y val="0.109905020352782"/>
          <c:w val="0.856388140161725"/>
          <c:h val="0.594246947082768"/>
        </c:manualLayout>
      </c:layout>
      <c:barChart>
        <c:barDir val="col"/>
        <c:grouping val="clustered"/>
        <c:varyColors val="0"/>
        <c:ser>
          <c:idx val="1"/>
          <c:order val="1"/>
          <c:tx>
            <c:strRef>
              <c:f>'9'!$D$19</c:f>
              <c:strCache>
                <c:ptCount val="1"/>
                <c:pt idx="0">
                  <c:v>余额</c:v>
                </c:pt>
              </c:strCache>
            </c:strRef>
          </c:tx>
          <c:spPr>
            <a:solidFill>
              <a:srgbClr val="9EDBDB"/>
            </a:solidFill>
            <a:ln w="28575" cap="rnd" cmpd="sng" algn="ctr">
              <a:noFill/>
              <a:prstDash val="solid"/>
              <a:round/>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'9'!$B$20:$B$32</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'9'!$D$20:$D$32</c:f>
              <c:numCache>
                <c:formatCode>0.00_ </c:formatCode>
                <c:ptCount val="13"/>
                <c:pt idx="0">
                  <c:v>7.0435</c:v>
                </c:pt>
                <c:pt idx="1">
                  <c:v>7.0673</c:v>
                </c:pt>
                <c:pt idx="2">
                  <c:v>7.081</c:v>
                </c:pt>
                <c:pt idx="3">
                  <c:v>7.1159</c:v>
                </c:pt>
                <c:pt idx="4">
                  <c:v>7.1226</c:v>
                </c:pt>
                <c:pt idx="5">
                  <c:v>7.1611</c:v>
                </c:pt>
                <c:pt idx="6">
                  <c:v>7.2236</c:v>
                </c:pt>
                <c:pt idx="7">
                  <c:v>7.2464</c:v>
                </c:pt>
                <c:pt idx="8">
                  <c:v>7.2563</c:v>
                </c:pt>
                <c:pt idx="9">
                  <c:v>7.2994</c:v>
                </c:pt>
                <c:pt idx="10">
                  <c:v>7.431</c:v>
                </c:pt>
                <c:pt idx="11">
                  <c:v>7.4438</c:v>
                </c:pt>
                <c:pt idx="12">
                  <c:v>7.5353</c:v>
                </c:pt>
              </c:numCache>
            </c:numRef>
          </c:val>
        </c:ser>
        <c:dLbls>
          <c:showLegendKey val="0"/>
          <c:showVal val="0"/>
          <c:showCatName val="0"/>
          <c:showSerName val="0"/>
          <c:showPercent val="0"/>
          <c:showBubbleSize val="0"/>
        </c:dLbls>
        <c:gapWidth val="150"/>
        <c:overlap val="0"/>
        <c:axId val="84658432"/>
        <c:axId val="84664320"/>
      </c:barChart>
      <c:lineChart>
        <c:grouping val="standard"/>
        <c:varyColors val="0"/>
        <c:ser>
          <c:idx val="0"/>
          <c:order val="0"/>
          <c:tx>
            <c:strRef>
              <c:f>'9'!$C$19</c:f>
              <c:strCache>
                <c:ptCount val="1"/>
                <c:pt idx="0">
                  <c:v>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6"/>
              <c:layout>
                <c:manualLayout>
                  <c:x val="-0.0515552895761909"/>
                  <c:y val="-0.064275687122614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387530732616064"/>
                  <c:y val="-0.058053306133984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381769866141685"/>
                  <c:y val="-0.088319848274799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0475655841550972"/>
                  <c:y val="-0.080221000906412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'9'!$B$20:$B$32</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'9'!$C$20:$C$32</c:f>
              <c:numCache>
                <c:formatCode>0.0_ </c:formatCode>
                <c:ptCount val="13"/>
                <c:pt idx="0">
                  <c:v>8.33</c:v>
                </c:pt>
                <c:pt idx="1">
                  <c:v>8.6</c:v>
                </c:pt>
                <c:pt idx="2">
                  <c:v>8.63</c:v>
                </c:pt>
                <c:pt idx="3">
                  <c:v>6.62</c:v>
                </c:pt>
                <c:pt idx="4">
                  <c:v>6.98</c:v>
                </c:pt>
                <c:pt idx="5">
                  <c:v>7</c:v>
                </c:pt>
                <c:pt idx="6">
                  <c:v>7.07</c:v>
                </c:pt>
                <c:pt idx="7">
                  <c:v>7.27</c:v>
                </c:pt>
                <c:pt idx="8">
                  <c:v>6.75</c:v>
                </c:pt>
                <c:pt idx="9">
                  <c:v>6.34</c:v>
                </c:pt>
                <c:pt idx="10">
                  <c:v>6.89</c:v>
                </c:pt>
                <c:pt idx="11">
                  <c:v>7</c:v>
                </c:pt>
                <c:pt idx="12">
                  <c:v>6.98</c:v>
                </c:pt>
              </c:numCache>
            </c:numRef>
          </c:val>
          <c:smooth val="0"/>
        </c:ser>
        <c:dLbls>
          <c:showLegendKey val="0"/>
          <c:showVal val="1"/>
          <c:showCatName val="0"/>
          <c:showSerName val="0"/>
          <c:showPercent val="0"/>
          <c:showBubbleSize val="0"/>
        </c:dLbls>
        <c:marker val="1"/>
        <c:smooth val="0"/>
        <c:axId val="84642432"/>
        <c:axId val="84656896"/>
      </c:lineChart>
      <c:catAx>
        <c:axId val="84642432"/>
        <c:scaling>
          <c:orientation val="minMax"/>
        </c:scaling>
        <c:delete val="0"/>
        <c:axPos val="b"/>
        <c:numFmt formatCode="yyyy&quot;年&quot;m&quot;月&quot;" sourceLinked="1"/>
        <c:majorTickMark val="none"/>
        <c:minorTickMark val="in"/>
        <c:tickLblPos val="nextTo"/>
        <c:spPr>
          <a:noFill/>
          <a:effectLst/>
        </c:spPr>
        <c:txPr>
          <a:bodyPr rot="-60000000" spcFirstLastPara="1" vertOverflow="ellipsis" vert="horz" wrap="square" anchor="ctr" anchorCtr="1"/>
          <a:lstStyle/>
          <a:p>
            <a:pPr>
              <a:defRPr lang="zh-CN" sz="800" b="0" i="0" u="none" strike="noStrike" kern="1200" baseline="0">
                <a:solidFill>
                  <a:sysClr val="windowText" lastClr="000000"/>
                </a:solidFill>
                <a:latin typeface="+mn-lt"/>
                <a:ea typeface="+mn-ea"/>
                <a:cs typeface="+mn-cs"/>
              </a:defRPr>
            </a:pPr>
          </a:p>
        </c:txPr>
        <c:crossAx val="84656896"/>
        <c:crosses val="autoZero"/>
        <c:auto val="1"/>
        <c:lblAlgn val="ctr"/>
        <c:lblOffset val="100"/>
        <c:noMultiLvlLbl val="0"/>
      </c:catAx>
      <c:valAx>
        <c:axId val="84656896"/>
        <c:scaling>
          <c:orientation val="minMax"/>
          <c:max val="10"/>
          <c:min val="6"/>
        </c:scaling>
        <c:delete val="0"/>
        <c:axPos val="l"/>
        <c:majorGridlines>
          <c:spPr>
            <a:ln w="6350" cap="flat" cmpd="sng" algn="ctr">
              <a:solidFill>
                <a:schemeClr val="bg1"/>
              </a:solidFill>
              <a:prstDash val="solid"/>
              <a:round/>
            </a:ln>
            <a:effectLst/>
          </c:spPr>
        </c:majorGridlines>
        <c:numFmt formatCode="0.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642432"/>
        <c:crosses val="autoZero"/>
        <c:crossBetween val="between"/>
        <c:majorUnit val="2"/>
        <c:minorUnit val="1"/>
      </c:valAx>
      <c:catAx>
        <c:axId val="84658432"/>
        <c:scaling>
          <c:orientation val="minMax"/>
        </c:scaling>
        <c:delete val="1"/>
        <c:axPos val="b"/>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4664320"/>
        <c:crosses val="autoZero"/>
        <c:auto val="1"/>
        <c:lblAlgn val="ctr"/>
        <c:lblOffset val="100"/>
        <c:noMultiLvlLbl val="0"/>
      </c:catAx>
      <c:valAx>
        <c:axId val="84664320"/>
        <c:scaling>
          <c:orientation val="minMax"/>
          <c:max val="10"/>
          <c:min val="0"/>
        </c:scaling>
        <c:delete val="0"/>
        <c:axPos val="r"/>
        <c:numFmt formatCode="[=30]0&quot;%&quot;;0"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4658432"/>
        <c:crosses val="max"/>
        <c:crossBetween val="between"/>
        <c:majorUnit val="2"/>
        <c:minorUnit val="1"/>
      </c:valAx>
      <c:spPr>
        <a:solidFill>
          <a:srgbClr val="DBEEF3"/>
        </a:solidFill>
        <a:ln w="25400">
          <a:noFill/>
        </a:ln>
      </c:spPr>
    </c:plotArea>
    <c:legend>
      <c:legendPos val="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DBEEF3"/>
    </a:solidFill>
    <a:ln w="9525" cap="flat" cmpd="sng" algn="ctr">
      <a:noFill/>
      <a:prstDash val="solid"/>
      <a:round/>
    </a:ln>
    <a:effectLst/>
  </c:spPr>
  <c:txPr>
    <a:bodyPr/>
    <a:lstStyle/>
    <a:p>
      <a:pPr>
        <a:defRPr lang="zh-CN"/>
      </a:pPr>
    </a:p>
  </c:txPr>
  <c:externalData r:id="rId1">
    <c:autoUpdate val="0"/>
  </c:externalData>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980381545122"/>
          <c:y val="0.0754494547597996"/>
          <c:w val="0.792435123799215"/>
          <c:h val="0.47061597406425"/>
        </c:manualLayout>
      </c:layout>
      <c:barChart>
        <c:barDir val="col"/>
        <c:grouping val="clustered"/>
        <c:varyColors val="0"/>
        <c:ser>
          <c:idx val="2"/>
          <c:order val="2"/>
          <c:tx>
            <c:strRef>
              <c:f>'10'!$D$2</c:f>
              <c:strCache>
                <c:ptCount val="1"/>
                <c:pt idx="0">
                  <c:v>累计总量</c:v>
                </c:pt>
              </c:strCache>
            </c:strRef>
          </c:tx>
          <c:spPr>
            <a:solidFill>
              <a:srgbClr val="9EDBDB"/>
            </a:solidFill>
          </c:spPr>
          <c:invertIfNegative val="0"/>
          <c:dLbls>
            <c:delete val="1"/>
          </c:dLbls>
          <c:cat>
            <c:strRef>
              <c:f>'10'!$A$3:$A$14</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'10'!$D$3:$D$14</c:f>
              <c:numCache>
                <c:formatCode>0_ </c:formatCode>
                <c:ptCount val="12"/>
                <c:pt idx="0">
                  <c:v>1887.10013441</c:v>
                </c:pt>
                <c:pt idx="1">
                  <c:v>2573.06671538</c:v>
                </c:pt>
                <c:pt idx="2">
                  <c:v>3294.52604091</c:v>
                </c:pt>
                <c:pt idx="3">
                  <c:v>4063.17249994</c:v>
                </c:pt>
                <c:pt idx="4">
                  <c:v>4795.9227409</c:v>
                </c:pt>
                <c:pt idx="5">
                  <c:v>5557.43805332</c:v>
                </c:pt>
                <c:pt idx="6">
                  <c:v>6291.94123097</c:v>
                </c:pt>
                <c:pt idx="7">
                  <c:v>7029.76414552</c:v>
                </c:pt>
                <c:pt idx="8">
                  <c:v>7778.26152371</c:v>
                </c:pt>
                <c:pt idx="9">
                  <c:v>8549.39567979</c:v>
                </c:pt>
                <c:pt idx="10">
                  <c:v>1357.19905057</c:v>
                </c:pt>
                <c:pt idx="11">
                  <c:v>2103.40660525</c:v>
                </c:pt>
              </c:numCache>
            </c:numRef>
          </c:val>
        </c:ser>
        <c:dLbls>
          <c:showLegendKey val="0"/>
          <c:showVal val="0"/>
          <c:showCatName val="0"/>
          <c:showSerName val="0"/>
          <c:showPercent val="0"/>
          <c:showBubbleSize val="0"/>
        </c:dLbls>
        <c:gapWidth val="150"/>
        <c:overlap val="0"/>
        <c:axId val="84842752"/>
        <c:axId val="84852736"/>
      </c:barChart>
      <c:lineChart>
        <c:grouping val="standard"/>
        <c:varyColors val="0"/>
        <c:ser>
          <c:idx val="0"/>
          <c:order val="0"/>
          <c:tx>
            <c:strRef>
              <c:f>'10'!$B$2</c:f>
              <c:strCache>
                <c:ptCount val="1"/>
                <c:pt idx="0">
                  <c:v>当月增幅</c:v>
                </c:pt>
              </c:strCache>
            </c:strRef>
          </c:tx>
          <c:spPr>
            <a:ln w="28575" cap="rnd" cmpd="sng" algn="ctr">
              <a:solidFill>
                <a:schemeClr val="tx1">
                  <a:lumMod val="85000"/>
                  <a:lumOff val="15000"/>
                </a:schemeClr>
              </a:solidFill>
              <a:prstDash val="sysDot"/>
              <a:round/>
            </a:ln>
          </c:spPr>
          <c:marker>
            <c:symbol val="triangle"/>
            <c:size val="5"/>
            <c:spPr>
              <a:solidFill>
                <a:schemeClr val="tx1">
                  <a:lumMod val="85000"/>
                  <a:lumOff val="15000"/>
                </a:schemeClr>
              </a:solidFill>
              <a:ln w="9525" cap="flat" cmpd="sng" algn="ctr">
                <a:solidFill>
                  <a:sysClr val="window" lastClr="FFFFFF"/>
                </a:solidFill>
                <a:prstDash val="solid"/>
                <a:round/>
              </a:ln>
            </c:spPr>
          </c:marker>
          <c:dLbls>
            <c:delete val="1"/>
          </c:dLbls>
          <c:cat>
            <c:strRef>
              <c:f>'10'!$A$3:$A$14</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'10'!$B$3:$B$14</c:f>
              <c:numCache>
                <c:formatCode>#,##0.0</c:formatCode>
                <c:ptCount val="12"/>
                <c:pt idx="0">
                  <c:v>-10.495</c:v>
                </c:pt>
                <c:pt idx="1">
                  <c:v>1.181</c:v>
                </c:pt>
                <c:pt idx="2">
                  <c:v>11.941</c:v>
                </c:pt>
                <c:pt idx="3">
                  <c:v>2.909</c:v>
                </c:pt>
                <c:pt idx="4">
                  <c:v>6.93</c:v>
                </c:pt>
                <c:pt idx="5">
                  <c:v>7.177</c:v>
                </c:pt>
                <c:pt idx="6">
                  <c:v>1.913</c:v>
                </c:pt>
                <c:pt idx="7">
                  <c:v>6.118</c:v>
                </c:pt>
                <c:pt idx="8">
                  <c:v>10.364</c:v>
                </c:pt>
                <c:pt idx="9">
                  <c:v>11.598</c:v>
                </c:pt>
                <c:pt idx="10">
                  <c:v>-2.65</c:v>
                </c:pt>
                <c:pt idx="11">
                  <c:v>16.773</c:v>
                </c:pt>
              </c:numCache>
            </c:numRef>
          </c:val>
          <c:smooth val="0"/>
        </c:ser>
        <c:ser>
          <c:idx val="1"/>
          <c:order val="1"/>
          <c:tx>
            <c:strRef>
              <c:f>'10'!$C$2</c:f>
              <c:strCache>
                <c:ptCount val="1"/>
                <c:pt idx="0">
                  <c:v>累计增幅</c:v>
                </c:pt>
              </c:strCache>
            </c:strRef>
          </c:tx>
          <c:spPr>
            <a:ln w="19050" cap="rnd" cmpd="sng" algn="ctr">
              <a:solidFill>
                <a:srgbClr val="FF1B09"/>
              </a:solidFill>
              <a:prstDash val="solid"/>
              <a:round/>
            </a:ln>
          </c:spPr>
          <c:marker>
            <c:symbol val="circle"/>
            <c:size val="4"/>
            <c:spPr>
              <a:solidFill>
                <a:srgbClr val="FF1B09"/>
              </a:solidFill>
              <a:ln w="9525" cap="flat" cmpd="sng" algn="ctr">
                <a:solidFill>
                  <a:schemeClr val="bg1"/>
                </a:solidFill>
                <a:prstDash val="solid"/>
                <a:round/>
              </a:ln>
            </c:spPr>
          </c:marker>
          <c:dLbls>
            <c:delete val="1"/>
          </c:dLbls>
          <c:cat>
            <c:strRef>
              <c:f>'10'!$A$3:$A$14</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'10'!$C$3:$C$14</c:f>
              <c:numCache>
                <c:formatCode>#,##0.0</c:formatCode>
                <c:ptCount val="12"/>
                <c:pt idx="0">
                  <c:v>5.736</c:v>
                </c:pt>
                <c:pt idx="1">
                  <c:v>4.474</c:v>
                </c:pt>
                <c:pt idx="2">
                  <c:v>5.985</c:v>
                </c:pt>
                <c:pt idx="3">
                  <c:v>5.374</c:v>
                </c:pt>
                <c:pt idx="4">
                  <c:v>5.555</c:v>
                </c:pt>
                <c:pt idx="5">
                  <c:v>5.79</c:v>
                </c:pt>
                <c:pt idx="6">
                  <c:v>5.318</c:v>
                </c:pt>
                <c:pt idx="7">
                  <c:v>5.39</c:v>
                </c:pt>
                <c:pt idx="8">
                  <c:v>5.995</c:v>
                </c:pt>
                <c:pt idx="9">
                  <c:v>6.44</c:v>
                </c:pt>
                <c:pt idx="10">
                  <c:v>7.817</c:v>
                </c:pt>
                <c:pt idx="11">
                  <c:v>10.815</c:v>
                </c:pt>
              </c:numCache>
            </c:numRef>
          </c:val>
          <c:smooth val="0"/>
        </c:ser>
        <c:dLbls>
          <c:showLegendKey val="0"/>
          <c:showVal val="1"/>
          <c:showCatName val="0"/>
          <c:showSerName val="0"/>
          <c:showPercent val="0"/>
          <c:showBubbleSize val="0"/>
        </c:dLbls>
        <c:marker val="1"/>
        <c:smooth val="0"/>
        <c:axId val="84814848"/>
        <c:axId val="84841216"/>
      </c:lineChart>
      <c:catAx>
        <c:axId val="84814848"/>
        <c:scaling>
          <c:orientation val="minMax"/>
        </c:scaling>
        <c:delete val="0"/>
        <c:axPos val="b"/>
        <c:numFmt formatCode="yyyy&quot;年&quot;m&quot;月&quot;" sourceLinked="1"/>
        <c:majorTickMark val="in"/>
        <c:minorTickMark val="none"/>
        <c:tickLblPos val="low"/>
        <c:txPr>
          <a:bodyPr rot="-60000000" spcFirstLastPara="0" vertOverflow="ellipsis" vert="horz" wrap="square" anchor="ctr" anchorCtr="1"/>
          <a:lstStyle/>
          <a:p>
            <a:pPr>
              <a:defRPr lang="zh-CN" sz="800" b="0" i="0" u="none" strike="noStrike" kern="1200" cap="none" spc="-79" normalizeH="0" baseline="0">
                <a:solidFill>
                  <a:schemeClr val="tx1"/>
                </a:solidFill>
                <a:uFill>
                  <a:solidFill>
                    <a:schemeClr val="tx1"/>
                  </a:solidFill>
                </a:uFill>
                <a:latin typeface="+mn-lt"/>
                <a:ea typeface="+mn-ea"/>
                <a:cs typeface="+mn-cs"/>
              </a:defRPr>
            </a:pPr>
          </a:p>
        </c:txPr>
        <c:crossAx val="84841216"/>
        <c:crosses val="autoZero"/>
        <c:auto val="1"/>
        <c:lblAlgn val="ctr"/>
        <c:lblOffset val="100"/>
        <c:noMultiLvlLbl val="0"/>
      </c:catAx>
      <c:valAx>
        <c:axId val="84841216"/>
        <c:scaling>
          <c:orientation val="minMax"/>
          <c:max val="30"/>
        </c:scaling>
        <c:delete val="0"/>
        <c:axPos val="l"/>
        <c:majorGridlines>
          <c:spPr>
            <a:ln w="9525" cap="flat" cmpd="sng" algn="ctr">
              <a:solidFill>
                <a:sysClr val="window" lastClr="FFFFFF"/>
              </a:solidFill>
              <a:prstDash val="solid"/>
              <a:round/>
            </a:ln>
          </c:spPr>
        </c:majorGridlines>
        <c:numFmt formatCode="#,##0"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814848"/>
        <c:crosses val="autoZero"/>
        <c:crossBetween val="between"/>
        <c:majorUnit val="10"/>
      </c:valAx>
      <c:catAx>
        <c:axId val="84842752"/>
        <c:scaling>
          <c:orientation val="minMax"/>
        </c:scaling>
        <c:delete val="1"/>
        <c:axPos val="b"/>
        <c:numFmt formatCode="yyyy&quot;年&quot;m&quot;月&quot;" sourceLinked="1"/>
        <c:majorTickMark val="out"/>
        <c:minorTickMark val="none"/>
        <c:tickLblPos val="none"/>
        <c:txPr>
          <a:bodyPr rot="-60000000" spcFirstLastPara="0" vertOverflow="ellipsis" vert="horz" wrap="square" anchor="ctr" anchorCtr="1"/>
          <a:lstStyle/>
          <a:p>
            <a:pPr>
              <a:defRPr lang="zh-CN" sz="1000" b="0" i="0" u="none" strike="noStrike" kern="1200" cap="none" spc="-79" normalizeH="0" baseline="0">
                <a:solidFill>
                  <a:schemeClr val="tx1"/>
                </a:solidFill>
                <a:uFill>
                  <a:solidFill>
                    <a:schemeClr val="tx1"/>
                  </a:solidFill>
                </a:uFill>
                <a:latin typeface="+mn-lt"/>
                <a:ea typeface="+mn-ea"/>
                <a:cs typeface="+mn-cs"/>
              </a:defRPr>
            </a:pPr>
          </a:p>
        </c:txPr>
        <c:crossAx val="84852736"/>
        <c:crossesAt val="0"/>
        <c:auto val="1"/>
        <c:lblAlgn val="ctr"/>
        <c:lblOffset val="100"/>
        <c:noMultiLvlLbl val="0"/>
      </c:catAx>
      <c:valAx>
        <c:axId val="84852736"/>
        <c:scaling>
          <c:orientation val="minMax"/>
          <c:max val="8000"/>
          <c:min val="0"/>
        </c:scaling>
        <c:delete val="0"/>
        <c:axPos val="r"/>
        <c:numFmt formatCode="[=35]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crossAx val="84842752"/>
        <c:crosses val="max"/>
        <c:crossBetween val="between"/>
        <c:majorUnit val="2000"/>
        <c:minorUnit val="500"/>
      </c:valAx>
      <c:dTable>
        <c:showHorzBorder val="1"/>
        <c:showVertBorder val="1"/>
        <c:showOutline val="1"/>
        <c:showKeys val="0"/>
        <c:txPr>
          <a:bodyPr rot="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Table>
      <c:spPr>
        <a:solidFill>
          <a:srgbClr val="E6F6FD"/>
        </a:solidFill>
      </c:spPr>
    </c:plotArea>
    <c:legend>
      <c:legendPos val="b"/>
      <c:legendEntry>
        <c:idx val="0"/>
        <c:txPr>
          <a:bodyPr rot="0" spcFirstLastPara="0" vertOverflow="ellipsis" vert="horz" wrap="square" anchor="ctr" anchorCtr="1"/>
          <a:lstStyle/>
          <a:p>
            <a:pPr>
              <a:defRPr lang="zh-CN" sz="1000" b="0" i="0" u="none" strike="noStrike" kern="1200" cap="none" spc="-79" normalizeH="0" baseline="0">
                <a:solidFill>
                  <a:schemeClr val="tx1"/>
                </a:solidFill>
                <a:uFill>
                  <a:solidFill>
                    <a:schemeClr val="tx1"/>
                  </a:solidFill>
                </a:uFill>
                <a:latin typeface="+mn-lt"/>
                <a:ea typeface="+mn-ea"/>
                <a:cs typeface="+mn-cs"/>
              </a:defRPr>
            </a:pPr>
          </a:p>
        </c:txPr>
      </c:legendEntry>
      <c:legendEntry>
        <c:idx val="1"/>
        <c:txPr>
          <a:bodyPr rot="0" spcFirstLastPara="0" vertOverflow="ellipsis" vert="horz" wrap="square" anchor="ctr" anchorCtr="1"/>
          <a:lstStyle/>
          <a:p>
            <a:pPr>
              <a:defRPr lang="zh-CN" sz="1000" b="0" i="0" u="none" strike="noStrike" kern="1200" cap="none" spc="-79" normalizeH="0" baseline="0">
                <a:solidFill>
                  <a:schemeClr val="tx1"/>
                </a:solidFill>
                <a:uFill>
                  <a:solidFill>
                    <a:schemeClr val="tx1"/>
                  </a:solidFill>
                </a:uFill>
                <a:latin typeface="+mn-lt"/>
                <a:ea typeface="+mn-ea"/>
                <a:cs typeface="+mn-cs"/>
              </a:defRPr>
            </a:pPr>
          </a:p>
        </c:txPr>
      </c:legendEntry>
      <c:legendEntry>
        <c:idx val="2"/>
        <c:txPr>
          <a:bodyPr rot="0" spcFirstLastPara="0" vertOverflow="ellipsis" vert="horz" wrap="square" anchor="ctr" anchorCtr="1"/>
          <a:lstStyle/>
          <a:p>
            <a:pPr>
              <a:defRPr lang="zh-CN" sz="1000" b="0" i="0" u="none" strike="noStrike" kern="1200" cap="none" spc="-79" normalizeH="0" baseline="0">
                <a:solidFill>
                  <a:schemeClr val="tx1"/>
                </a:solidFill>
                <a:uFill>
                  <a:solidFill>
                    <a:schemeClr val="tx1"/>
                  </a:solidFill>
                </a:uFill>
                <a:latin typeface="+mn-lt"/>
                <a:ea typeface="+mn-ea"/>
                <a:cs typeface="+mn-cs"/>
              </a:defRPr>
            </a:pPr>
          </a:p>
        </c:txPr>
      </c:legendEntry>
      <c:layout>
        <c:manualLayout>
          <c:xMode val="edge"/>
          <c:yMode val="edge"/>
          <c:x val="0.311234886564326"/>
          <c:y val="0.0127256584788399"/>
          <c:w val="0.561200923787529"/>
          <c:h val="0.124297129328204"/>
        </c:manualLayout>
      </c:layout>
      <c:overlay val="0"/>
      <c:txPr>
        <a:bodyPr rot="0" spcFirstLastPara="0" vertOverflow="ellipsis" vert="horz" wrap="square" anchor="ctr" anchorCtr="1"/>
        <a:lstStyle/>
        <a:p>
          <a:pPr>
            <a:defRPr lang="zh-CN" sz="1000" b="0" i="0" u="none" strike="noStrike" kern="1200" cap="none" spc="-79" normalizeH="0" baseline="0">
              <a:solidFill>
                <a:schemeClr val="tx1"/>
              </a:solidFill>
              <a:uFill>
                <a:solidFill>
                  <a:schemeClr val="tx1"/>
                </a:solidFill>
              </a:u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u="none" strike="noStrike" kern="1200" cap="none" spc="-79" normalizeH="0">
          <a:solidFill>
            <a:schemeClr val="tx1"/>
          </a:solidFill>
          <a:uFill>
            <a:solidFill>
              <a:schemeClr val="tx1"/>
            </a:solidFill>
          </a:uFill>
        </a:defRPr>
      </a:pPr>
    </a:p>
  </c:txPr>
  <c:externalData r:id="rId1">
    <c:autoUpdate val="0"/>
  </c:externalData>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43822605134"/>
          <c:y val="0.039307695233748"/>
          <c:w val="0.867335341471579"/>
          <c:h val="0.725770927570227"/>
        </c:manualLayout>
      </c:layout>
      <c:barChart>
        <c:barDir val="col"/>
        <c:grouping val="clustered"/>
        <c:varyColors val="0"/>
        <c:ser>
          <c:idx val="2"/>
          <c:order val="2"/>
          <c:tx>
            <c:strRef>
              <c:f>'10'!$D$24</c:f>
              <c:strCache>
                <c:ptCount val="1"/>
                <c:pt idx="0">
                  <c:v>累计总量</c:v>
                </c:pt>
              </c:strCache>
            </c:strRef>
          </c:tx>
          <c:spPr>
            <a:solidFill>
              <a:srgbClr val="9EDBDB"/>
            </a:solidFill>
          </c:spPr>
          <c:invertIfNegative val="0"/>
          <c:dLbls>
            <c:delete val="1"/>
          </c:dLbls>
          <c:cat>
            <c:strRef>
              <c:f>'10'!$A$25:$A$36</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'10'!$D$25:$D$36</c:f>
              <c:numCache>
                <c:formatCode>0_ </c:formatCode>
                <c:ptCount val="12"/>
                <c:pt idx="0">
                  <c:v>1225.89167613</c:v>
                </c:pt>
                <c:pt idx="1">
                  <c:v>1673.80995759</c:v>
                </c:pt>
                <c:pt idx="2">
                  <c:v>2175.70624576</c:v>
                </c:pt>
                <c:pt idx="3">
                  <c:v>2739.22056514</c:v>
                </c:pt>
                <c:pt idx="4">
                  <c:v>3260.72787086</c:v>
                </c:pt>
                <c:pt idx="5">
                  <c:v>3813.82535583</c:v>
                </c:pt>
                <c:pt idx="6">
                  <c:v>4333.02189645</c:v>
                </c:pt>
                <c:pt idx="7">
                  <c:v>4867.52376499</c:v>
                </c:pt>
                <c:pt idx="8">
                  <c:v>5399.05017433</c:v>
                </c:pt>
                <c:pt idx="9">
                  <c:v>5949.53990277</c:v>
                </c:pt>
                <c:pt idx="10">
                  <c:v>946.95314317</c:v>
                </c:pt>
                <c:pt idx="11">
                  <c:v>1470.50145648</c:v>
                </c:pt>
              </c:numCache>
            </c:numRef>
          </c:val>
        </c:ser>
        <c:dLbls>
          <c:showLegendKey val="0"/>
          <c:showVal val="0"/>
          <c:showCatName val="0"/>
          <c:showSerName val="0"/>
          <c:showPercent val="0"/>
          <c:showBubbleSize val="0"/>
        </c:dLbls>
        <c:gapWidth val="150"/>
        <c:overlap val="0"/>
        <c:axId val="84993152"/>
        <c:axId val="84994688"/>
      </c:barChart>
      <c:lineChart>
        <c:grouping val="standard"/>
        <c:varyColors val="0"/>
        <c:ser>
          <c:idx val="0"/>
          <c:order val="0"/>
          <c:tx>
            <c:strRef>
              <c:f>'10'!$B$24</c:f>
              <c:strCache>
                <c:ptCount val="1"/>
                <c:pt idx="0">
                  <c:v>当月增幅</c:v>
                </c:pt>
              </c:strCache>
            </c:strRef>
          </c:tx>
          <c:spPr>
            <a:ln w="22225" cap="rnd" cmpd="sng" algn="ctr">
              <a:solidFill>
                <a:schemeClr val="tx1">
                  <a:lumMod val="85000"/>
                  <a:lumOff val="15000"/>
                </a:schemeClr>
              </a:solidFill>
              <a:prstDash val="sysDot"/>
              <a:round/>
            </a:ln>
          </c:spPr>
          <c:marker>
            <c:symbol val="circle"/>
            <c:size val="4"/>
            <c:spPr>
              <a:solidFill>
                <a:schemeClr val="tx1">
                  <a:lumMod val="85000"/>
                  <a:lumOff val="15000"/>
                </a:schemeClr>
              </a:solidFill>
              <a:ln w="9525" cap="flat" cmpd="sng" algn="ctr">
                <a:solidFill>
                  <a:schemeClr val="bg1"/>
                </a:solidFill>
                <a:prstDash val="solid"/>
                <a:round/>
              </a:ln>
            </c:spPr>
          </c:marker>
          <c:dLbls>
            <c:delete val="1"/>
          </c:dLbls>
          <c:cat>
            <c:strRef>
              <c:f>'10'!$A$25:$A$36</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'10'!$B$25:$B$36</c:f>
              <c:numCache>
                <c:formatCode>#,##0.0</c:formatCode>
                <c:ptCount val="12"/>
                <c:pt idx="0">
                  <c:v>-19.782</c:v>
                </c:pt>
                <c:pt idx="1">
                  <c:v>-2.347</c:v>
                </c:pt>
                <c:pt idx="2">
                  <c:v>20.643</c:v>
                </c:pt>
                <c:pt idx="3">
                  <c:v>8.935</c:v>
                </c:pt>
                <c:pt idx="4">
                  <c:v>11.809</c:v>
                </c:pt>
                <c:pt idx="5">
                  <c:v>19.728</c:v>
                </c:pt>
                <c:pt idx="6">
                  <c:v>10.242</c:v>
                </c:pt>
                <c:pt idx="7">
                  <c:v>22.719</c:v>
                </c:pt>
                <c:pt idx="8">
                  <c:v>14.485</c:v>
                </c:pt>
                <c:pt idx="9">
                  <c:v>20.766</c:v>
                </c:pt>
                <c:pt idx="10">
                  <c:v>-3.473</c:v>
                </c:pt>
                <c:pt idx="11">
                  <c:v>29.737</c:v>
                </c:pt>
              </c:numCache>
            </c:numRef>
          </c:val>
          <c:smooth val="0"/>
        </c:ser>
        <c:ser>
          <c:idx val="1"/>
          <c:order val="1"/>
          <c:tx>
            <c:strRef>
              <c:f>'10'!$C$24</c:f>
              <c:strCache>
                <c:ptCount val="1"/>
                <c:pt idx="0">
                  <c:v>累计增幅</c:v>
                </c:pt>
              </c:strCache>
            </c:strRef>
          </c:tx>
          <c:spPr>
            <a:ln w="19050" cap="rnd" cmpd="sng" algn="ctr">
              <a:solidFill>
                <a:srgbClr val="FF1B09"/>
              </a:solidFill>
              <a:prstDash val="solid"/>
              <a:round/>
            </a:ln>
          </c:spPr>
          <c:marker>
            <c:symbol val="circle"/>
            <c:size val="4"/>
            <c:spPr>
              <a:solidFill>
                <a:srgbClr val="FF1B09"/>
              </a:solidFill>
              <a:ln w="9525" cap="flat" cmpd="sng" algn="ctr">
                <a:solidFill>
                  <a:sysClr val="window" lastClr="FFFFFF"/>
                </a:solidFill>
                <a:prstDash val="solid"/>
                <a:round/>
              </a:ln>
            </c:spPr>
          </c:marker>
          <c:dLbls>
            <c:delete val="1"/>
          </c:dLbls>
          <c:cat>
            <c:strRef>
              <c:f>'10'!$A$25:$A$36</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'10'!$C$25:$C$36</c:f>
              <c:numCache>
                <c:formatCode>#,##0.0</c:formatCode>
                <c:ptCount val="12"/>
                <c:pt idx="0">
                  <c:v>1.985</c:v>
                </c:pt>
                <c:pt idx="1">
                  <c:v>0.782</c:v>
                </c:pt>
                <c:pt idx="2">
                  <c:v>4.755</c:v>
                </c:pt>
                <c:pt idx="3">
                  <c:v>5.585</c:v>
                </c:pt>
                <c:pt idx="4">
                  <c:v>6.496</c:v>
                </c:pt>
                <c:pt idx="5">
                  <c:v>8.226</c:v>
                </c:pt>
                <c:pt idx="6">
                  <c:v>8.452</c:v>
                </c:pt>
                <c:pt idx="7">
                  <c:v>9.85</c:v>
                </c:pt>
                <c:pt idx="8">
                  <c:v>10.55</c:v>
                </c:pt>
                <c:pt idx="9">
                  <c:v>11.46</c:v>
                </c:pt>
                <c:pt idx="10">
                  <c:v>13.382</c:v>
                </c:pt>
                <c:pt idx="11">
                  <c:v>18.708</c:v>
                </c:pt>
              </c:numCache>
            </c:numRef>
          </c:val>
          <c:smooth val="0"/>
        </c:ser>
        <c:dLbls>
          <c:showLegendKey val="0"/>
          <c:showVal val="1"/>
          <c:showCatName val="0"/>
          <c:showSerName val="0"/>
          <c:showPercent val="0"/>
          <c:showBubbleSize val="0"/>
        </c:dLbls>
        <c:marker val="1"/>
        <c:smooth val="0"/>
        <c:axId val="84944768"/>
        <c:axId val="84946304"/>
      </c:lineChart>
      <c:catAx>
        <c:axId val="84944768"/>
        <c:scaling>
          <c:orientation val="minMax"/>
        </c:scaling>
        <c:delete val="0"/>
        <c:axPos val="b"/>
        <c:numFmt formatCode="yyyy&quot;年&quot;m&quot;月&quot;" sourceLinked="1"/>
        <c:majorTickMark val="in"/>
        <c:minorTickMark val="none"/>
        <c:tickLblPos val="low"/>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946304"/>
        <c:crossesAt val="-25"/>
        <c:auto val="1"/>
        <c:lblAlgn val="ctr"/>
        <c:lblOffset val="100"/>
        <c:noMultiLvlLbl val="0"/>
      </c:catAx>
      <c:valAx>
        <c:axId val="84946304"/>
        <c:scaling>
          <c:orientation val="minMax"/>
          <c:max val="50"/>
          <c:min val="-30"/>
        </c:scaling>
        <c:delete val="0"/>
        <c:axPos val="l"/>
        <c:majorGridlines>
          <c:spPr>
            <a:ln w="9525" cap="flat" cmpd="sng" algn="ctr">
              <a:solidFill>
                <a:schemeClr val="bg1"/>
              </a:solidFill>
              <a:prstDash val="solid"/>
              <a:round/>
            </a:ln>
          </c:spPr>
        </c:majorGridlines>
        <c:numFmt formatCode="_ * #,##0_ ;_ * \-#,##0_ ;_ * &quot;-&quot;_ ;_ @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4944768"/>
        <c:crosses val="autoZero"/>
        <c:crossBetween val="between"/>
        <c:majorUnit val="20"/>
        <c:minorUnit val="5"/>
      </c:valAx>
      <c:catAx>
        <c:axId val="84993152"/>
        <c:scaling>
          <c:orientation val="minMax"/>
        </c:scaling>
        <c:delete val="1"/>
        <c:axPos val="b"/>
        <c:numFmt formatCode="yyyy&quot;年&quot;m&quot;月&quot;"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4994688"/>
        <c:crossesAt val="0"/>
        <c:auto val="1"/>
        <c:lblAlgn val="ctr"/>
        <c:lblOffset val="100"/>
        <c:noMultiLvlLbl val="0"/>
      </c:catAx>
      <c:valAx>
        <c:axId val="84994688"/>
        <c:scaling>
          <c:orientation val="minMax"/>
          <c:max val="6000"/>
          <c:min val="0"/>
        </c:scaling>
        <c:delete val="0"/>
        <c:axPos val="r"/>
        <c:numFmt formatCode="[=70]0&quot;%&quot;;0" sourceLinked="0"/>
        <c:majorTickMark val="in"/>
        <c:minorTickMark val="none"/>
        <c:tickLblPos val="nextTo"/>
        <c:txPr>
          <a:bodyPr rot="-60000000" spcFirstLastPara="0" vertOverflow="ellipsis" vert="horz" wrap="square" anchor="ctr" anchorCtr="1"/>
          <a:lstStyle/>
          <a:p>
            <a:pPr>
              <a:defRPr lang="zh-CN" sz="900" b="0" i="0" u="none" strike="noStrike" kern="1200" cap="none" spc="-69" normalizeH="0" baseline="0">
                <a:solidFill>
                  <a:schemeClr val="tx1"/>
                </a:solidFill>
                <a:uFill>
                  <a:solidFill>
                    <a:schemeClr val="tx1"/>
                  </a:solidFill>
                </a:uFill>
                <a:latin typeface="+mn-lt"/>
                <a:ea typeface="+mn-ea"/>
                <a:cs typeface="+mn-cs"/>
              </a:defRPr>
            </a:pPr>
          </a:p>
        </c:txPr>
        <c:crossAx val="84993152"/>
        <c:crosses val="max"/>
        <c:crossBetween val="between"/>
        <c:majorUnit val="1500"/>
        <c:minorUnit val="500"/>
      </c:valAx>
      <c:dTable>
        <c:showHorzBorder val="1"/>
        <c:showVertBorder val="1"/>
        <c:showOutline val="1"/>
        <c:showKeys val="0"/>
        <c:txPr>
          <a:bodyPr rot="0" spcFirstLastPara="0" vertOverflow="ellipsis" vert="horz" wrap="square" anchor="ctr" anchorCtr="1"/>
          <a:lstStyle/>
          <a:p>
            <a:pPr>
              <a:defRPr lang="zh-CN" sz="900" b="0" i="0" u="none" strike="noStrike" kern="1200" cap="none" spc="-79" normalizeH="0" baseline="0">
                <a:solidFill>
                  <a:schemeClr val="tx1"/>
                </a:solidFill>
                <a:uFill>
                  <a:solidFill>
                    <a:schemeClr val="tx1"/>
                  </a:solidFill>
                </a:uFill>
                <a:latin typeface="+mn-lt"/>
                <a:ea typeface="+mn-ea"/>
                <a:cs typeface="+mn-cs"/>
              </a:defRPr>
            </a:pPr>
          </a:p>
        </c:txPr>
      </c:dTable>
      <c:spPr>
        <a:solidFill>
          <a:srgbClr val="E6F6FD"/>
        </a:solidFill>
      </c:spPr>
    </c:plotArea>
    <c:legend>
      <c:legendPos val="b"/>
      <c:layout>
        <c:manualLayout>
          <c:xMode val="edge"/>
          <c:yMode val="edge"/>
          <c:x val="0.184210526315789"/>
          <c:y val="0.0136570561456753"/>
          <c:w val="0.730769230769231"/>
          <c:h val="0.0974203338391502"/>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a:pPr>
    </a:p>
  </c:txPr>
  <c:externalData r:id="rId1">
    <c:autoUpdate val="0"/>
  </c:externalData>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61673414304993"/>
          <c:y val="0.0864485981308411"/>
          <c:w val="0.846396761133603"/>
          <c:h val="0.591069574247144"/>
        </c:manualLayout>
      </c:layout>
      <c:barChart>
        <c:barDir val="col"/>
        <c:grouping val="clustered"/>
        <c:varyColors val="0"/>
        <c:ser>
          <c:idx val="1"/>
          <c:order val="1"/>
          <c:tx>
            <c:strRef>
              <c:f>'11'!$D$4</c:f>
              <c:strCache>
                <c:ptCount val="1"/>
                <c:pt idx="0">
                  <c:v>累计总量</c:v>
                </c:pt>
              </c:strCache>
            </c:strRef>
          </c:tx>
          <c:spPr>
            <a:solidFill>
              <a:srgbClr val="9EDBDB"/>
            </a:solidFill>
            <a:ln w="28575" cap="rnd" cmpd="sng" algn="ctr">
              <a:noFill/>
              <a:prstDash val="solid"/>
              <a:round/>
            </a:ln>
            <a:effectLst/>
          </c:spPr>
          <c:invertIfNegative val="0"/>
          <c:dLbls>
            <c:dLbl>
              <c:idx val="5"/>
              <c:layout>
                <c:manualLayout>
                  <c:x val="-0.00202429149797571"/>
                  <c:y val="-0.00389408099688474"/>
                </c:manualLayout>
              </c:layout>
              <c:dLblPos val="inBase"/>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'11'!$B$5:$B$17</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'11'!$D$5:$D$17</c:f>
              <c:numCache>
                <c:formatCode>0.0_ </c:formatCode>
                <c:ptCount val="13"/>
                <c:pt idx="0">
                  <c:v>24.9029</c:v>
                </c:pt>
                <c:pt idx="1">
                  <c:v>31.14</c:v>
                </c:pt>
                <c:pt idx="2">
                  <c:v>36.9355</c:v>
                </c:pt>
                <c:pt idx="3">
                  <c:v>46.5913</c:v>
                </c:pt>
                <c:pt idx="4">
                  <c:v>47.8771</c:v>
                </c:pt>
                <c:pt idx="5">
                  <c:v>49.6314</c:v>
                </c:pt>
                <c:pt idx="6">
                  <c:v>52.6514</c:v>
                </c:pt>
                <c:pt idx="7">
                  <c:v>54.0797</c:v>
                </c:pt>
                <c:pt idx="8">
                  <c:v>55.2855</c:v>
                </c:pt>
                <c:pt idx="9">
                  <c:v>65.4</c:v>
                </c:pt>
                <c:pt idx="10">
                  <c:v>5.8411</c:v>
                </c:pt>
                <c:pt idx="11">
                  <c:v>8.2386</c:v>
                </c:pt>
                <c:pt idx="12">
                  <c:v>14.0414</c:v>
                </c:pt>
              </c:numCache>
            </c:numRef>
          </c:val>
        </c:ser>
        <c:dLbls>
          <c:showLegendKey val="0"/>
          <c:showVal val="1"/>
          <c:showCatName val="0"/>
          <c:showSerName val="0"/>
          <c:showPercent val="0"/>
          <c:showBubbleSize val="0"/>
        </c:dLbls>
        <c:gapWidth val="150"/>
        <c:overlap val="0"/>
        <c:axId val="85149568"/>
        <c:axId val="85151104"/>
      </c:barChart>
      <c:lineChart>
        <c:grouping val="stacked"/>
        <c:varyColors val="0"/>
        <c:ser>
          <c:idx val="0"/>
          <c:order val="0"/>
          <c:tx>
            <c:strRef>
              <c:f>'11'!$C$4</c:f>
              <c:strCache>
                <c:ptCount val="1"/>
                <c:pt idx="0">
                  <c:v>累计增幅</c:v>
                </c:pt>
              </c:strCache>
            </c:strRef>
          </c:tx>
          <c:spPr>
            <a:ln w="19050" cap="rnd" cmpd="sng" algn="ctr">
              <a:solidFill>
                <a:srgbClr val="FF1B09"/>
              </a:solidFill>
              <a:prstDash val="solid"/>
              <a:round/>
            </a:ln>
            <a:effectLst/>
          </c:spPr>
          <c:marker>
            <c:symbol val="circle"/>
            <c:size val="4"/>
            <c:spPr>
              <a:solidFill>
                <a:srgbClr val="FF1B09"/>
              </a:solidFill>
              <a:ln w="9525" cap="flat" cmpd="sng" algn="ctr">
                <a:solidFill>
                  <a:srgbClr val="FFFFFF"/>
                </a:solidFill>
                <a:prstDash val="solid"/>
                <a:round/>
              </a:ln>
            </c:spPr>
          </c:marker>
          <c:dLbls>
            <c:dLbl>
              <c:idx val="0"/>
              <c:layout>
                <c:manualLayout>
                  <c:x val="-0.0446428571428571"/>
                  <c:y val="-0.058780152480939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533550503804266"/>
                  <c:y val="0.04278346787693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527643116921193"/>
                  <c:y val="-0.040101424121050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256390878911499"/>
                  <c:y val="-0.057803322420409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395631900932317"/>
                  <c:y val="-0.072635474728785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553031347226425"/>
                  <c:y val="-0.047238200801426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422303212224992"/>
                  <c:y val="-0.058237004359162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543595841372868"/>
                  <c:y val="-0.060868972785189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559375061210686"/>
                  <c:y val="-0.059948466621433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582657293070046"/>
                  <c:y val="-0.06573685466350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522767288031381"/>
                  <c:y val="-0.072841803865425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497232314389378"/>
                  <c:y val="-0.047721653795645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034412955465587"/>
                  <c:y val="-0.0739875389408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1" vertOverflow="ellipsis" vert="horz" wrap="square" lIns="38100" tIns="19050" rIns="38100" bIns="19050" anchor="ctr" anchorCtr="1">
                <a:spAutoFit/>
              </a:bodyPr>
              <a:lstStyle/>
              <a:p>
                <a:pPr>
                  <a:defRPr lang="zh-CN" sz="900" b="0" i="0" u="none" strike="noStrike" kern="1200" cap="none" spc="0" normalizeH="0" baseline="0">
                    <a:solidFill>
                      <a:sysClr val="windowText" lastClr="000000"/>
                    </a:solidFill>
                    <a:uFillTx/>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'11'!$B$5:$B$17</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'11'!$C$5:$C$17</c:f>
              <c:numCache>
                <c:formatCode>0.0_ </c:formatCode>
                <c:ptCount val="13"/>
                <c:pt idx="0">
                  <c:v>1.07</c:v>
                </c:pt>
                <c:pt idx="1">
                  <c:v>-2.46</c:v>
                </c:pt>
                <c:pt idx="2">
                  <c:v>-4.38</c:v>
                </c:pt>
                <c:pt idx="3">
                  <c:v>3.86</c:v>
                </c:pt>
                <c:pt idx="4">
                  <c:v>0.36</c:v>
                </c:pt>
                <c:pt idx="5">
                  <c:v>-40</c:v>
                </c:pt>
                <c:pt idx="6">
                  <c:v>-36.35</c:v>
                </c:pt>
                <c:pt idx="7">
                  <c:v>-34.71</c:v>
                </c:pt>
                <c:pt idx="8">
                  <c:v>-33.51</c:v>
                </c:pt>
                <c:pt idx="9">
                  <c:v>-25.9</c:v>
                </c:pt>
                <c:pt idx="10">
                  <c:v>-34.52</c:v>
                </c:pt>
                <c:pt idx="11">
                  <c:v>-51.44</c:v>
                </c:pt>
                <c:pt idx="12">
                  <c:v>-43.62</c:v>
                </c:pt>
              </c:numCache>
            </c:numRef>
          </c:val>
          <c:smooth val="0"/>
        </c:ser>
        <c:dLbls>
          <c:showLegendKey val="0"/>
          <c:showVal val="1"/>
          <c:showCatName val="0"/>
          <c:showSerName val="0"/>
          <c:showPercent val="0"/>
          <c:showBubbleSize val="0"/>
        </c:dLbls>
        <c:marker val="1"/>
        <c:smooth val="0"/>
        <c:axId val="85113088"/>
        <c:axId val="85148032"/>
      </c:lineChart>
      <c:catAx>
        <c:axId val="85113088"/>
        <c:scaling>
          <c:orientation val="minMax"/>
        </c:scaling>
        <c:delete val="0"/>
        <c:axPos val="b"/>
        <c:numFmt formatCode="General" sourceLinked="1"/>
        <c:majorTickMark val="in"/>
        <c:minorTickMark val="none"/>
        <c:tickLblPos val="low"/>
        <c:txPr>
          <a:bodyPr rot="-60000000" spcFirstLastPara="1" vertOverflow="ellipsis" vert="horz" wrap="square" anchor="ctr" anchorCtr="1"/>
          <a:lstStyle/>
          <a:p>
            <a:pPr>
              <a:defRPr lang="zh-CN" sz="800" b="0" i="0" u="none" strike="noStrike" kern="1200" cap="none" spc="0" normalizeH="0" baseline="0">
                <a:solidFill>
                  <a:sysClr val="windowText" lastClr="000000"/>
                </a:solidFill>
                <a:uFillTx/>
                <a:latin typeface="+mn-lt"/>
                <a:ea typeface="+mn-ea"/>
                <a:cs typeface="+mn-cs"/>
              </a:defRPr>
            </a:pPr>
          </a:p>
        </c:txPr>
        <c:crossAx val="85148032"/>
        <c:crossesAt val="-80"/>
        <c:auto val="1"/>
        <c:lblAlgn val="ctr"/>
        <c:lblOffset val="100"/>
        <c:noMultiLvlLbl val="0"/>
      </c:catAx>
      <c:valAx>
        <c:axId val="85148032"/>
        <c:scaling>
          <c:orientation val="minMax"/>
          <c:min val="-60"/>
        </c:scaling>
        <c:delete val="0"/>
        <c:axPos val="l"/>
        <c:majorGridlines>
          <c:spPr>
            <a:ln w="9525" cap="flat" cmpd="sng" algn="ctr">
              <a:solidFill>
                <a:schemeClr val="bg1"/>
              </a:solidFill>
              <a:prstDash val="solid"/>
              <a:round/>
            </a:ln>
            <a:effectLst/>
          </c:spPr>
        </c:majorGridlines>
        <c:numFmt formatCode="0.0_ " sourceLinked="1"/>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5113088"/>
        <c:crosses val="autoZero"/>
        <c:crossBetween val="between"/>
        <c:majorUnit val="40"/>
        <c:minorUnit val="5"/>
      </c:valAx>
      <c:catAx>
        <c:axId val="85149568"/>
        <c:scaling>
          <c:orientation val="minMax"/>
        </c:scaling>
        <c:delete val="1"/>
        <c:axPos val="b"/>
        <c:numFmt formatCode="General"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5151104"/>
        <c:crosses val="autoZero"/>
        <c:auto val="1"/>
        <c:lblAlgn val="ctr"/>
        <c:lblOffset val="100"/>
        <c:noMultiLvlLbl val="0"/>
      </c:catAx>
      <c:valAx>
        <c:axId val="85151104"/>
        <c:scaling>
          <c:orientation val="minMax"/>
          <c:max val="90"/>
          <c:min val="0"/>
        </c:scaling>
        <c:delete val="0"/>
        <c:axPos val="r"/>
        <c:majorGridlines>
          <c:spPr>
            <a:ln w="9525" cap="flat" cmpd="sng" algn="ctr">
              <a:solidFill>
                <a:sysClr val="window" lastClr="FFFFFF">
                  <a:alpha val="0"/>
                </a:sysClr>
              </a:solidFill>
              <a:prstDash val="solid"/>
              <a:round/>
            </a:ln>
          </c:spPr>
        </c:majorGridlines>
        <c:numFmt formatCode="[=30]0&quot;%&quot;;0" sourceLinked="0"/>
        <c:majorTickMark val="out"/>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5149568"/>
        <c:crosses val="max"/>
        <c:crossBetween val="between"/>
        <c:majorUnit val="20"/>
        <c:minorUnit val="5"/>
      </c:valAx>
      <c:spPr>
        <a:solidFill>
          <a:srgbClr val="E6F6FD"/>
        </a:solidFill>
      </c:spPr>
    </c:plotArea>
    <c:legend>
      <c:legendPos val="t"/>
      <c:layout>
        <c:manualLayout>
          <c:xMode val="edge"/>
          <c:yMode val="edge"/>
          <c:x val="0.62753036437247"/>
          <c:y val="0.0116822429906542"/>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28465179175"/>
          <c:y val="0.0995708154506438"/>
          <c:w val="0.774270182555781"/>
          <c:h val="0.487439198855508"/>
        </c:manualLayout>
      </c:layout>
      <c:barChart>
        <c:barDir val="col"/>
        <c:grouping val="clustered"/>
        <c:varyColors val="0"/>
        <c:ser>
          <c:idx val="2"/>
          <c:order val="2"/>
          <c:tx>
            <c:strRef>
              <c:f>'11'!$E$25</c:f>
              <c:strCache>
                <c:ptCount val="1"/>
                <c:pt idx="0">
                  <c:v>累计总量</c:v>
                </c:pt>
              </c:strCache>
            </c:strRef>
          </c:tx>
          <c:spPr>
            <a:solidFill>
              <a:srgbClr val="9EDBDB"/>
            </a:solidFill>
          </c:spPr>
          <c:invertIfNegative val="0"/>
          <c:dLbls>
            <c:delete val="1"/>
          </c:dLbls>
          <c:cat>
            <c:strRef>
              <c:f>'11'!$B$26:$B$37</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'11'!$E$26:$E$37</c:f>
              <c:numCache>
                <c:formatCode>0.0_ </c:formatCode>
                <c:ptCount val="12"/>
                <c:pt idx="0">
                  <c:v>0.7593</c:v>
                </c:pt>
                <c:pt idx="1">
                  <c:v>1.0401</c:v>
                </c:pt>
                <c:pt idx="2">
                  <c:v>1.3189</c:v>
                </c:pt>
                <c:pt idx="3">
                  <c:v>1.5774</c:v>
                </c:pt>
                <c:pt idx="4">
                  <c:v>1.8553</c:v>
                </c:pt>
                <c:pt idx="5">
                  <c:v>2.1403</c:v>
                </c:pt>
                <c:pt idx="6">
                  <c:v>2.4515</c:v>
                </c:pt>
                <c:pt idx="7">
                  <c:v>2.7753</c:v>
                </c:pt>
                <c:pt idx="8">
                  <c:v>3.1178</c:v>
                </c:pt>
                <c:pt idx="9">
                  <c:v>3.4679</c:v>
                </c:pt>
                <c:pt idx="10">
                  <c:v>0.4845</c:v>
                </c:pt>
                <c:pt idx="11">
                  <c:v>0.7933</c:v>
                </c:pt>
              </c:numCache>
            </c:numRef>
          </c:val>
        </c:ser>
        <c:dLbls>
          <c:showLegendKey val="0"/>
          <c:showVal val="0"/>
          <c:showCatName val="0"/>
          <c:showSerName val="0"/>
          <c:showPercent val="0"/>
          <c:showBubbleSize val="0"/>
        </c:dLbls>
        <c:gapWidth val="150"/>
        <c:overlap val="-47"/>
        <c:axId val="85073920"/>
        <c:axId val="85075456"/>
      </c:barChart>
      <c:lineChart>
        <c:grouping val="standard"/>
        <c:varyColors val="0"/>
        <c:ser>
          <c:idx val="0"/>
          <c:order val="0"/>
          <c:tx>
            <c:strRef>
              <c:f>'11'!$C$25</c:f>
              <c:strCache>
                <c:ptCount val="1"/>
                <c:pt idx="0">
                  <c:v>当月增幅</c:v>
                </c:pt>
              </c:strCache>
            </c:strRef>
          </c:tx>
          <c:spPr>
            <a:ln w="28575" cap="rnd" cmpd="sng" algn="ctr">
              <a:solidFill>
                <a:schemeClr val="tx1">
                  <a:lumMod val="85000"/>
                  <a:lumOff val="15000"/>
                </a:schemeClr>
              </a:solidFill>
              <a:prstDash val="sysDot"/>
              <a:round/>
            </a:ln>
            <a:effectLst/>
          </c:spPr>
          <c:marker>
            <c:symbol val="circle"/>
            <c:size val="5"/>
            <c:spPr>
              <a:solidFill>
                <a:schemeClr val="tx1">
                  <a:lumMod val="85000"/>
                  <a:lumOff val="15000"/>
                </a:schemeClr>
              </a:solidFill>
              <a:ln w="9525" cap="flat" cmpd="sng" algn="ctr">
                <a:solidFill>
                  <a:srgbClr val="FFFFFF"/>
                </a:solidFill>
                <a:prstDash val="solid"/>
                <a:round/>
              </a:ln>
            </c:spPr>
          </c:marker>
          <c:dLbls>
            <c:delete val="1"/>
          </c:dLbls>
          <c:cat>
            <c:strRef>
              <c:f>'11'!$B$26:$B$37</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'11'!$C$26:$C$37</c:f>
              <c:numCache>
                <c:formatCode>0.0_ </c:formatCode>
                <c:ptCount val="12"/>
                <c:pt idx="0">
                  <c:v>-5.27878587924778</c:v>
                </c:pt>
                <c:pt idx="1">
                  <c:v>-6.0200668896321</c:v>
                </c:pt>
                <c:pt idx="2">
                  <c:v>-6.72465707594514</c:v>
                </c:pt>
                <c:pt idx="3">
                  <c:v>-13.7182910547397</c:v>
                </c:pt>
                <c:pt idx="4">
                  <c:v>-9.06413612565446</c:v>
                </c:pt>
                <c:pt idx="5">
                  <c:v>-5.03165611462846</c:v>
                </c:pt>
                <c:pt idx="6">
                  <c:v>14.5380934854619</c:v>
                </c:pt>
                <c:pt idx="7">
                  <c:v>3.21963659547337</c:v>
                </c:pt>
                <c:pt idx="8">
                  <c:v>-5.33443891652846</c:v>
                </c:pt>
                <c:pt idx="9">
                  <c:v>-1.21331828442437</c:v>
                </c:pt>
                <c:pt idx="10">
                  <c:v>52.6124818577649</c:v>
                </c:pt>
                <c:pt idx="11">
                  <c:v>-27.2898516599953</c:v>
                </c:pt>
              </c:numCache>
            </c:numRef>
          </c:val>
          <c:smooth val="0"/>
        </c:ser>
        <c:ser>
          <c:idx val="1"/>
          <c:order val="1"/>
          <c:tx>
            <c:strRef>
              <c:f>'11'!$D$25</c:f>
              <c:strCache>
                <c:ptCount val="1"/>
                <c:pt idx="0">
                  <c:v>累计增幅</c:v>
                </c:pt>
              </c:strCache>
            </c:strRef>
          </c:tx>
          <c:spPr>
            <a:ln w="28575" cap="rnd" cmpd="sng" algn="ctr">
              <a:solidFill>
                <a:schemeClr val="accent2"/>
              </a:solidFill>
              <a:prstDash val="solid"/>
              <a:round/>
            </a:ln>
            <a:effectLst/>
          </c:spPr>
          <c:marker>
            <c:symbol val="triangle"/>
            <c:size val="5"/>
            <c:spPr>
              <a:solidFill>
                <a:schemeClr val="accent2"/>
              </a:solidFill>
              <a:ln w="9525" cap="flat" cmpd="sng" algn="ctr">
                <a:solidFill>
                  <a:schemeClr val="accent2"/>
                </a:solidFill>
                <a:prstDash val="solid"/>
                <a:round/>
              </a:ln>
              <a:effectLst/>
            </c:spPr>
          </c:marker>
          <c:dLbls>
            <c:delete val="1"/>
          </c:dLbls>
          <c:cat>
            <c:strRef>
              <c:f>'11'!$B$26:$B$37</c:f>
              <c:strCache>
                <c:ptCount val="12"/>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2025年2月</c:v>
                </c:pt>
                <c:pt idx="11" c:formatCode="yyyy&quot;年&quot;m&quot;月&quot;">
                  <c:v>3月</c:v>
                </c:pt>
              </c:strCache>
            </c:strRef>
          </c:cat>
          <c:val>
            <c:numRef>
              <c:f>'11'!$D$26:$D$37</c:f>
              <c:numCache>
                <c:formatCode>0.0_ </c:formatCode>
                <c:ptCount val="12"/>
                <c:pt idx="0">
                  <c:v>5.5316191799861</c:v>
                </c:pt>
                <c:pt idx="1">
                  <c:v>2.12076583210603</c:v>
                </c:pt>
                <c:pt idx="2">
                  <c:v>0.113860634583274</c:v>
                </c:pt>
                <c:pt idx="3">
                  <c:v>-2.44897959183673</c:v>
                </c:pt>
                <c:pt idx="4">
                  <c:v>-3.50046811609279</c:v>
                </c:pt>
                <c:pt idx="5">
                  <c:v>-3.70720295136545</c:v>
                </c:pt>
                <c:pt idx="6">
                  <c:v>-1.71985246953175</c:v>
                </c:pt>
                <c:pt idx="7">
                  <c:v>-1.16804957088423</c:v>
                </c:pt>
                <c:pt idx="8">
                  <c:v>-1.64358497113474</c:v>
                </c:pt>
                <c:pt idx="9">
                  <c:v>-1.6003177936044</c:v>
                </c:pt>
                <c:pt idx="10">
                  <c:v>2.60482846251588</c:v>
                </c:pt>
                <c:pt idx="11">
                  <c:v>4.5</c:v>
                </c:pt>
              </c:numCache>
            </c:numRef>
          </c:val>
          <c:smooth val="0"/>
        </c:ser>
        <c:dLbls>
          <c:showLegendKey val="0"/>
          <c:showVal val="0"/>
          <c:showCatName val="0"/>
          <c:showSerName val="0"/>
          <c:showPercent val="0"/>
          <c:showBubbleSize val="0"/>
        </c:dLbls>
        <c:marker val="1"/>
        <c:smooth val="0"/>
        <c:axId val="85070208"/>
        <c:axId val="85072128"/>
      </c:lineChart>
      <c:catAx>
        <c:axId val="85070208"/>
        <c:scaling>
          <c:orientation val="minMax"/>
        </c:scaling>
        <c:delete val="0"/>
        <c:axPos val="b"/>
        <c:numFmt formatCode="General" sourceLinked="1"/>
        <c:majorTickMark val="in"/>
        <c:minorTickMark val="none"/>
        <c:tickLblPos val="low"/>
        <c:spPr>
          <a:noFill/>
          <a:effectLst/>
        </c:spPr>
        <c:txPr>
          <a:bodyPr rot="-60000000" spcFirstLastPara="1" vertOverflow="ellipsis" vert="horz" wrap="square" anchor="ctr" anchorCtr="1"/>
          <a:lstStyle/>
          <a:p>
            <a:pPr>
              <a:defRPr lang="zh-CN" sz="800" b="0" i="0" u="none" strike="noStrike" kern="1200" baseline="0">
                <a:solidFill>
                  <a:sysClr val="windowText" lastClr="000000"/>
                </a:solidFill>
                <a:latin typeface="+mn-lt"/>
                <a:ea typeface="+mn-ea"/>
                <a:cs typeface="+mn-cs"/>
              </a:defRPr>
            </a:pPr>
          </a:p>
        </c:txPr>
        <c:crossAx val="85072128"/>
        <c:crosses val="autoZero"/>
        <c:auto val="1"/>
        <c:lblAlgn val="ctr"/>
        <c:lblOffset val="100"/>
        <c:tickLblSkip val="1"/>
        <c:noMultiLvlLbl val="0"/>
      </c:catAx>
      <c:valAx>
        <c:axId val="85072128"/>
        <c:scaling>
          <c:orientation val="minMax"/>
        </c:scaling>
        <c:delete val="0"/>
        <c:axPos val="l"/>
        <c:majorGridlines>
          <c:spPr>
            <a:ln w="6350"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5070208"/>
        <c:crosses val="autoZero"/>
        <c:crossBetween val="between"/>
        <c:majorUnit val="20"/>
      </c:valAx>
      <c:catAx>
        <c:axId val="85073920"/>
        <c:scaling>
          <c:orientation val="minMax"/>
        </c:scaling>
        <c:delete val="1"/>
        <c:axPos val="b"/>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85075456"/>
        <c:crossesAt val="0"/>
        <c:auto val="1"/>
        <c:lblAlgn val="ctr"/>
        <c:lblOffset val="100"/>
        <c:noMultiLvlLbl val="0"/>
      </c:catAx>
      <c:valAx>
        <c:axId val="85075456"/>
        <c:scaling>
          <c:orientation val="minMax"/>
          <c:max val="10"/>
        </c:scaling>
        <c:delete val="0"/>
        <c:axPos val="r"/>
        <c:numFmt formatCode="0_ " sourceLinked="0"/>
        <c:majorTickMark val="in"/>
        <c:minorTickMark val="none"/>
        <c:tickLblPos val="high"/>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n-ea"/>
                <a:cs typeface="+mn-cs"/>
              </a:defRPr>
            </a:pPr>
          </a:p>
        </c:txPr>
        <c:crossAx val="85073920"/>
        <c:crosses val="max"/>
        <c:crossBetween val="between"/>
      </c:valAx>
      <c:dTable>
        <c:showHorzBorder val="1"/>
        <c:showVertBorder val="1"/>
        <c:showOutline val="1"/>
        <c:showKeys val="1"/>
        <c:txPr>
          <a:bodyPr rot="0" spcFirstLastPara="0" vertOverflow="ellipsis" vert="horz" wrap="square" anchor="ctr" anchorCtr="1"/>
          <a:lstStyle/>
          <a:p>
            <a:pPr>
              <a:defRPr lang="zh-CN" sz="800" b="0" i="0" u="none" strike="noStrike" kern="1200" cap="none" spc="0" normalizeH="0" baseline="0">
                <a:solidFill>
                  <a:schemeClr val="tx1"/>
                </a:solidFill>
                <a:uFill>
                  <a:solidFill>
                    <a:schemeClr val="tx1"/>
                  </a:solidFill>
                </a:uFill>
                <a:latin typeface="+mn-lt"/>
                <a:ea typeface="+mn-ea"/>
                <a:cs typeface="+mn-cs"/>
              </a:defRPr>
            </a:pPr>
          </a:p>
        </c:txPr>
      </c:dTable>
      <c:spPr>
        <a:solidFill>
          <a:srgbClr val="E6F6FD"/>
        </a:solidFill>
        <a:ln w="25400">
          <a:noFill/>
        </a:ln>
      </c:spPr>
    </c:plotArea>
    <c:legend>
      <c:legendPos val="t"/>
      <c:layout>
        <c:manualLayout>
          <c:xMode val="edge"/>
          <c:yMode val="edge"/>
          <c:x val="0.379513184584178"/>
          <c:y val="0.030042918454935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externalData r:id="rId1">
    <c:autoUpdate val="0"/>
  </c:externalData>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31920064812315"/>
          <c:y val="0.0432900432900433"/>
          <c:w val="0.885633270321361"/>
          <c:h val="0.705569985569986"/>
        </c:manualLayout>
      </c:layout>
      <c:barChart>
        <c:barDir val="col"/>
        <c:grouping val="clustered"/>
        <c:varyColors val="0"/>
        <c:ser>
          <c:idx val="0"/>
          <c:order val="0"/>
          <c:tx>
            <c:strRef>
              <c:f>'12'!$C$1</c:f>
              <c:strCache>
                <c:ptCount val="1"/>
                <c:pt idx="0">
                  <c:v>优良天数</c:v>
                </c:pt>
              </c:strCache>
            </c:strRef>
          </c:tx>
          <c:spPr>
            <a:solidFill>
              <a:srgbClr val="9EDBDB"/>
            </a:solidFill>
            <a:ln>
              <a:noFill/>
            </a:ln>
            <a:effectLst/>
          </c:spPr>
          <c:invertIfNegative val="0"/>
          <c:dLbls>
            <c:spPr>
              <a:noFill/>
              <a:ln w="25400">
                <a:noFill/>
              </a:ln>
              <a:effectLst/>
            </c:spPr>
            <c:txPr>
              <a:bodyPr rot="0" spcFirstLastPara="1" vertOverflow="ellipsis" vert="horz" wrap="square" lIns="38100" tIns="19050" rIns="38100" bIns="19050" anchor="ctr" anchorCtr="0">
                <a:spAutoFit/>
              </a:bodyPr>
              <a:lstStyle/>
              <a:p>
                <a:pPr>
                  <a:defRPr lang="zh-CN" sz="105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'12'!$B$2:$B$14</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'12'!$C$2:$C$14</c:f>
              <c:numCache>
                <c:formatCode>General</c:formatCode>
                <c:ptCount val="13"/>
                <c:pt idx="0">
                  <c:v>30</c:v>
                </c:pt>
                <c:pt idx="1">
                  <c:v>28</c:v>
                </c:pt>
                <c:pt idx="2">
                  <c:v>16</c:v>
                </c:pt>
                <c:pt idx="3">
                  <c:v>23</c:v>
                </c:pt>
                <c:pt idx="4">
                  <c:v>31</c:v>
                </c:pt>
                <c:pt idx="5">
                  <c:v>15</c:v>
                </c:pt>
                <c:pt idx="6">
                  <c:v>25</c:v>
                </c:pt>
                <c:pt idx="7">
                  <c:v>30</c:v>
                </c:pt>
                <c:pt idx="8">
                  <c:v>29</c:v>
                </c:pt>
                <c:pt idx="9">
                  <c:v>28</c:v>
                </c:pt>
                <c:pt idx="10">
                  <c:v>26</c:v>
                </c:pt>
                <c:pt idx="11">
                  <c:v>26</c:v>
                </c:pt>
                <c:pt idx="12">
                  <c:v>30</c:v>
                </c:pt>
              </c:numCache>
            </c:numRef>
          </c:val>
        </c:ser>
        <c:dLbls>
          <c:showLegendKey val="0"/>
          <c:showVal val="1"/>
          <c:showCatName val="0"/>
          <c:showSerName val="0"/>
          <c:showPercent val="0"/>
          <c:showBubbleSize val="0"/>
        </c:dLbls>
        <c:gapWidth val="150"/>
        <c:axId val="155743083"/>
        <c:axId val="717024298"/>
      </c:barChart>
      <c:lineChart>
        <c:grouping val="stacked"/>
        <c:varyColors val="0"/>
        <c:ser>
          <c:idx val="1"/>
          <c:order val="1"/>
          <c:tx>
            <c:strRef>
              <c:f>'12'!$D$1</c:f>
              <c:strCache>
                <c:ptCount val="1"/>
                <c:pt idx="0">
                  <c:v>优良率</c:v>
                </c:pt>
              </c:strCache>
            </c:strRef>
          </c:tx>
          <c:spPr>
            <a:ln w="19050" cap="rnd" cmpd="sng" algn="ctr">
              <a:solidFill>
                <a:srgbClr val="FF0000"/>
              </a:solidFill>
              <a:prstDash val="solid"/>
              <a:round/>
            </a:ln>
            <a:sp3d contourW="19050"/>
          </c:spPr>
          <c:marker>
            <c:symbol val="circle"/>
            <c:size val="5"/>
            <c:spPr>
              <a:solidFill>
                <a:srgbClr val="FF0000"/>
              </a:solidFill>
              <a:ln w="12700" cap="flat" cmpd="sng" algn="ctr">
                <a:solidFill>
                  <a:schemeClr val="bg1"/>
                </a:solidFill>
                <a:prstDash val="solid"/>
                <a:round/>
              </a:ln>
            </c:spPr>
          </c:marker>
          <c:dLbls>
            <c:dLbl>
              <c:idx val="1"/>
              <c:layout>
                <c:manualLayout>
                  <c:x val="-0.00202538482311639"/>
                  <c:y val="0.021645021645021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101269241155819"/>
                  <c:y val="0.034632034632034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0202538482311639"/>
                  <c:y val="0.043290043290043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
                  <c:y val="0.017316017316017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0202538482311639"/>
                  <c:y val="0.034632034632034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'12'!$B$2:$B$14</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'12'!$D$2:$D$14</c:f>
              <c:numCache>
                <c:formatCode>0.0_ </c:formatCode>
                <c:ptCount val="13"/>
                <c:pt idx="0">
                  <c:v>96.8</c:v>
                </c:pt>
                <c:pt idx="1">
                  <c:v>93.3</c:v>
                </c:pt>
                <c:pt idx="2">
                  <c:v>51.6</c:v>
                </c:pt>
                <c:pt idx="3">
                  <c:v>76.7</c:v>
                </c:pt>
                <c:pt idx="4">
                  <c:v>100</c:v>
                </c:pt>
                <c:pt idx="5">
                  <c:v>48.4</c:v>
                </c:pt>
                <c:pt idx="6">
                  <c:v>83.3</c:v>
                </c:pt>
                <c:pt idx="7">
                  <c:v>96.8</c:v>
                </c:pt>
                <c:pt idx="8">
                  <c:v>96.7</c:v>
                </c:pt>
                <c:pt idx="9">
                  <c:v>90.3</c:v>
                </c:pt>
                <c:pt idx="10">
                  <c:v>83.9</c:v>
                </c:pt>
                <c:pt idx="11">
                  <c:v>92.9</c:v>
                </c:pt>
                <c:pt idx="12">
                  <c:v>96.8</c:v>
                </c:pt>
              </c:numCache>
            </c:numRef>
          </c:val>
          <c:smooth val="0"/>
        </c:ser>
        <c:dLbls>
          <c:showLegendKey val="0"/>
          <c:showVal val="1"/>
          <c:showCatName val="0"/>
          <c:showSerName val="0"/>
          <c:showPercent val="0"/>
          <c:showBubbleSize val="0"/>
        </c:dLbls>
        <c:marker val="1"/>
        <c:smooth val="0"/>
        <c:axId val="208996608"/>
        <c:axId val="209006592"/>
      </c:lineChart>
      <c:catAx>
        <c:axId val="208996608"/>
        <c:scaling>
          <c:orientation val="minMax"/>
        </c:scaling>
        <c:delete val="0"/>
        <c:axPos val="b"/>
        <c:numFmt formatCode="yyyy&quot;年&quot;m&quot;月&quot;" sourceLinked="1"/>
        <c:majorTickMark val="none"/>
        <c:minorTickMark val="in"/>
        <c:tickLblPos val="nextTo"/>
        <c:spPr>
          <a:noFill/>
          <a:effectLst/>
        </c:spPr>
        <c:txPr>
          <a:bodyPr rot="-60000000" spcFirstLastPara="1" vertOverflow="ellipsis" vert="horz" wrap="square" anchor="ctr" anchorCtr="1"/>
          <a:lstStyle/>
          <a:p>
            <a:pPr>
              <a:defRPr lang="zh-CN" sz="800" b="0" i="0" u="none" strike="noStrike" kern="1200" baseline="0">
                <a:solidFill>
                  <a:sysClr val="windowText" lastClr="000000"/>
                </a:solidFill>
                <a:latin typeface="+mn-lt"/>
                <a:ea typeface="+mn-ea"/>
                <a:cs typeface="+mn-cs"/>
              </a:defRPr>
            </a:pPr>
          </a:p>
        </c:txPr>
        <c:crossAx val="209006592"/>
        <c:crosses val="autoZero"/>
        <c:auto val="1"/>
        <c:lblAlgn val="ctr"/>
        <c:lblOffset val="100"/>
        <c:noMultiLvlLbl val="0"/>
      </c:catAx>
      <c:valAx>
        <c:axId val="209006592"/>
        <c:scaling>
          <c:orientation val="minMax"/>
          <c:max val="130"/>
          <c:min val="0"/>
        </c:scaling>
        <c:delete val="0"/>
        <c:axPos val="l"/>
        <c:majorGridlines>
          <c:spPr>
            <a:ln w="6350" cap="flat" cmpd="sng" algn="ctr">
              <a:solidFill>
                <a:schemeClr val="bg1"/>
              </a:solidFill>
              <a:prstDash val="solid"/>
              <a:round/>
            </a:ln>
            <a:effectLst/>
          </c:spPr>
        </c:majorGridlines>
        <c:numFmt formatCode="0_ " sourceLinked="0"/>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08996608"/>
        <c:crosses val="autoZero"/>
        <c:crossBetween val="between"/>
        <c:majorUnit val="20"/>
      </c:valAx>
      <c:catAx>
        <c:axId val="155743083"/>
        <c:scaling>
          <c:orientation val="minMax"/>
        </c:scaling>
        <c:delete val="1"/>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717024298"/>
        <c:crosses val="autoZero"/>
        <c:auto val="1"/>
        <c:lblAlgn val="ctr"/>
        <c:lblOffset val="100"/>
        <c:noMultiLvlLbl val="0"/>
      </c:catAx>
      <c:valAx>
        <c:axId val="717024298"/>
        <c:scaling>
          <c:orientation val="minMax"/>
          <c:max val="50"/>
          <c:min val="0"/>
        </c:scaling>
        <c:delete val="0"/>
        <c:axPos val="r"/>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55743083"/>
        <c:crosses val="max"/>
        <c:crossBetween val="between"/>
        <c:majorUnit val="10"/>
        <c:minorUnit val="10"/>
      </c:valAx>
      <c:spPr>
        <a:solidFill>
          <a:srgbClr val="E6F6FD"/>
        </a:solidFill>
        <a:ln w="25400">
          <a:noFill/>
        </a:ln>
      </c:spPr>
    </c:plotArea>
    <c:legend>
      <c:legendPos val="t"/>
      <c:layout>
        <c:manualLayout>
          <c:xMode val="edge"/>
          <c:yMode val="edge"/>
          <c:x val="0.551039697542533"/>
          <c:y val="0.0086580086580086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a:effectLst/>
  </c:spPr>
  <c:txPr>
    <a:bodyPr/>
    <a:lstStyle/>
    <a:p>
      <a:pPr>
        <a:defRPr lang="zh-CN"/>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390134529148"/>
          <c:y val="0.0721649484536085"/>
          <c:w val="0.860986547085202"/>
          <c:h val="0.66571324517456"/>
        </c:manualLayout>
      </c:layout>
      <c:barChart>
        <c:barDir val="col"/>
        <c:grouping val="clustered"/>
        <c:varyColors val="0"/>
        <c:ser>
          <c:idx val="0"/>
          <c:order val="0"/>
          <c:spPr>
            <a:solidFill>
              <a:srgbClr val="9EDBDB"/>
            </a:solidFill>
            <a:ln>
              <a:noFill/>
            </a:ln>
            <a:effectLst/>
          </c:spPr>
          <c:invertIfNegative val="0"/>
          <c:dLbls>
            <c:spPr>
              <a:noFill/>
              <a:ln w="25400">
                <a:noFill/>
              </a:ln>
              <a:effectLst/>
            </c:spPr>
            <c:txPr>
              <a:bodyPr rot="0" spcFirstLastPara="1" vertOverflow="ellipsis" vert="horz" wrap="square" lIns="38100" tIns="19050" rIns="38100" bIns="19050" anchor="ctr" anchorCtr="1"/>
              <a:lstStyle/>
              <a:p>
                <a:pPr>
                  <a:defRPr lang="zh-CN" sz="9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'12'!$B$20:$B$32</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'12'!$C$20:$C$32</c:f>
              <c:numCache>
                <c:formatCode>General</c:formatCode>
                <c:ptCount val="13"/>
                <c:pt idx="0">
                  <c:v>39.5</c:v>
                </c:pt>
                <c:pt idx="1">
                  <c:v>26.1</c:v>
                </c:pt>
                <c:pt idx="2">
                  <c:v>24.6</c:v>
                </c:pt>
                <c:pt idx="3" c:formatCode="0.0_ ">
                  <c:v>18</c:v>
                </c:pt>
                <c:pt idx="4">
                  <c:v>14.2</c:v>
                </c:pt>
                <c:pt idx="5">
                  <c:v>20.7</c:v>
                </c:pt>
                <c:pt idx="6">
                  <c:v>19.5</c:v>
                </c:pt>
                <c:pt idx="7">
                  <c:v>21.1</c:v>
                </c:pt>
                <c:pt idx="8">
                  <c:v>23.7</c:v>
                </c:pt>
                <c:pt idx="9">
                  <c:v>49.1</c:v>
                </c:pt>
                <c:pt idx="10">
                  <c:v>53.9</c:v>
                </c:pt>
                <c:pt idx="11">
                  <c:v>45.6</c:v>
                </c:pt>
                <c:pt idx="12">
                  <c:v>30.9</c:v>
                </c:pt>
              </c:numCache>
            </c:numRef>
          </c:val>
        </c:ser>
        <c:dLbls>
          <c:showLegendKey val="0"/>
          <c:showVal val="1"/>
          <c:showCatName val="0"/>
          <c:showSerName val="0"/>
          <c:showPercent val="0"/>
          <c:showBubbleSize val="0"/>
        </c:dLbls>
        <c:gapWidth val="219"/>
        <c:overlap val="-27"/>
        <c:axId val="209125760"/>
        <c:axId val="209127296"/>
      </c:barChart>
      <c:catAx>
        <c:axId val="209125760"/>
        <c:scaling>
          <c:orientation val="minMax"/>
        </c:scaling>
        <c:delete val="0"/>
        <c:axPos val="b"/>
        <c:numFmt formatCode="General" sourceLinked="1"/>
        <c:majorTickMark val="none"/>
        <c:minorTickMark val="none"/>
        <c:tickLblPos val="nextTo"/>
        <c:spPr>
          <a:noFill/>
          <a:effectLst/>
        </c:spPr>
        <c:txPr>
          <a:bodyPr rot="-60000000" spcFirstLastPara="1" vertOverflow="ellipsis" vert="horz" wrap="square" anchor="ctr" anchorCtr="1"/>
          <a:lstStyle/>
          <a:p>
            <a:pPr>
              <a:defRPr lang="zh-CN" sz="800" b="0" i="0" u="none" strike="noStrike" kern="1200" baseline="0">
                <a:solidFill>
                  <a:sysClr val="windowText" lastClr="000000"/>
                </a:solidFill>
                <a:latin typeface="+mn-lt"/>
                <a:ea typeface="+mn-ea"/>
                <a:cs typeface="+mn-cs"/>
              </a:defRPr>
            </a:pPr>
          </a:p>
        </c:txPr>
        <c:crossAx val="209127296"/>
        <c:crosses val="autoZero"/>
        <c:auto val="1"/>
        <c:lblAlgn val="ctr"/>
        <c:lblOffset val="100"/>
        <c:noMultiLvlLbl val="0"/>
      </c:catAx>
      <c:valAx>
        <c:axId val="209127296"/>
        <c:scaling>
          <c:orientation val="minMax"/>
          <c:max val="80"/>
          <c:min val="0"/>
        </c:scaling>
        <c:delete val="0"/>
        <c:axPos val="l"/>
        <c:majorGridlines>
          <c:spPr>
            <a:ln w="6350" cap="flat" cmpd="sng" algn="ctr">
              <a:solidFill>
                <a:schemeClr val="bg1"/>
              </a:solidFill>
              <a:prstDash val="solid"/>
              <a:round/>
            </a:ln>
            <a:effectLst/>
          </c:spPr>
        </c:majorGridlines>
        <c:numFmt formatCode="General" sourceLinked="1"/>
        <c:majorTickMark val="in"/>
        <c:minorTickMark val="none"/>
        <c:tickLblPos val="nextTo"/>
        <c:txPr>
          <a:bodyPr rot="-60000000" spcFirstLastPara="0" vertOverflow="ellipsis" vert="horz" wrap="square" anchor="ctr" anchorCtr="1"/>
          <a:lstStyle/>
          <a:p>
            <a:pPr>
              <a:defRPr lang="zh-CN" sz="1000" b="0" i="0" u="none" strike="noStrike" kern="1200" baseline="0">
                <a:solidFill>
                  <a:sysClr val="windowText" lastClr="000000"/>
                </a:solidFill>
                <a:latin typeface="+mn-lt"/>
                <a:ea typeface="+mn-ea"/>
                <a:cs typeface="+mn-cs"/>
              </a:defRPr>
            </a:pPr>
          </a:p>
        </c:txPr>
        <c:crossAx val="209125760"/>
        <c:crosses val="autoZero"/>
        <c:crossBetween val="between"/>
        <c:majorUnit val="10"/>
      </c:valAx>
      <c:spPr>
        <a:solidFill>
          <a:srgbClr val="E6F6FD"/>
        </a:solidFill>
        <a:ln w="25400">
          <a:noFill/>
        </a:ln>
      </c:spPr>
    </c:plotArea>
    <c:plotVisOnly val="1"/>
    <c:dispBlanksAs val="gap"/>
    <c:showDLblsOverMax val="0"/>
  </c:chart>
  <c:spPr>
    <a:solidFill>
      <a:srgbClr val="E6F6FD"/>
    </a:solidFill>
    <a:ln w="9525" cap="flat" cmpd="sng" algn="ctr">
      <a:noFill/>
      <a:prstDash val="solid"/>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849028400618"/>
          <c:y val="0.078324653862712"/>
          <c:w val="0.945169544389911"/>
          <c:h val="0.664010850318465"/>
        </c:manualLayout>
      </c:layout>
      <c:lineChart>
        <c:grouping val="standard"/>
        <c:varyColors val="0"/>
        <c:ser>
          <c:idx val="0"/>
          <c:order val="0"/>
          <c:tx>
            <c:strRef>
              <c:f>'13'!$D$2</c:f>
              <c:strCache>
                <c:ptCount val="1"/>
                <c:pt idx="0">
                  <c:v>当月</c:v>
                </c:pt>
              </c:strCache>
            </c:strRef>
          </c:tx>
          <c:spPr>
            <a:ln w="6350" cap="rnd" cmpd="sng" algn="ctr">
              <a:solidFill>
                <a:schemeClr val="tx1">
                  <a:lumMod val="85000"/>
                  <a:lumOff val="15000"/>
                </a:schemeClr>
              </a:solidFill>
              <a:prstDash val="solid"/>
              <a:round/>
            </a:ln>
          </c:spPr>
          <c:marker>
            <c:symbol val="circle"/>
            <c:size val="4"/>
            <c:spPr>
              <a:solidFill>
                <a:schemeClr val="tx1">
                  <a:lumMod val="85000"/>
                  <a:lumOff val="15000"/>
                </a:schemeClr>
              </a:solidFill>
              <a:ln w="9525" cap="flat" cmpd="sng" algn="ctr">
                <a:solidFill>
                  <a:schemeClr val="bg1"/>
                </a:solidFill>
                <a:prstDash val="solid"/>
                <a:round/>
              </a:ln>
            </c:spPr>
          </c:marker>
          <c:dLbls>
            <c:dLbl>
              <c:idx val="0"/>
              <c:layout>
                <c:manualLayout>
                  <c:x val="-0.0494702444305202"/>
                  <c:y val="-0.052418696193525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785016100412593"/>
                  <c:y val="-0.066787993743099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714606041435726"/>
                  <c:y val="-0.06755295285342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42270019122745"/>
                  <c:y val="-0.064354394871308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789833476432286"/>
                  <c:y val="-0.060008534118458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745467349869117"/>
                  <c:y val="-0.05661313800584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524804007948835"/>
                  <c:y val="-0.057527528454693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715321112805163"/>
                  <c:y val="0.045090267688455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655530380368686"/>
                  <c:y val="0.060360511391227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689535047533473"/>
                  <c:y val="0.047169839651032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715226230754448"/>
                  <c:y val="0.047022657091914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670768207341342"/>
                  <c:y val="0.051735248957730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58757075457082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lgn="ctr">
                  <a:defRPr lang="zh-CN" altLang="en-US" sz="1000" b="0"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'13'!$C$3:$C$15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'13'!$D$3:$D$15</c:f>
              <c:numCache>
                <c:formatCode>0.0_);[Red]\(0.0\)</c:formatCode>
                <c:ptCount val="13"/>
                <c:pt idx="0">
                  <c:v>100.3</c:v>
                </c:pt>
                <c:pt idx="1">
                  <c:v>100.3</c:v>
                </c:pt>
                <c:pt idx="2">
                  <c:v>100.5</c:v>
                </c:pt>
                <c:pt idx="3" c:formatCode="0.0_ ">
                  <c:v>100.3</c:v>
                </c:pt>
                <c:pt idx="4">
                  <c:v>100.6</c:v>
                </c:pt>
                <c:pt idx="5">
                  <c:v>100.5</c:v>
                </c:pt>
                <c:pt idx="6">
                  <c:v>99.7</c:v>
                </c:pt>
                <c:pt idx="7" c:formatCode="0.0_ ">
                  <c:v>99.7</c:v>
                </c:pt>
                <c:pt idx="8">
                  <c:v>99.6</c:v>
                </c:pt>
                <c:pt idx="9">
                  <c:v>99.7</c:v>
                </c:pt>
                <c:pt idx="10">
                  <c:v>100.4</c:v>
                </c:pt>
                <c:pt idx="11">
                  <c:v>98.56406396</c:v>
                </c:pt>
                <c:pt idx="12">
                  <c:v>99.35150825</c:v>
                </c:pt>
              </c:numCache>
            </c:numRef>
          </c:val>
          <c:smooth val="0"/>
        </c:ser>
        <c:dLbls>
          <c:showLegendKey val="0"/>
          <c:showVal val="1"/>
          <c:showCatName val="0"/>
          <c:showSerName val="0"/>
          <c:showPercent val="0"/>
          <c:showBubbleSize val="0"/>
        </c:dLbls>
        <c:marker val="1"/>
        <c:smooth val="0"/>
        <c:axId val="209320960"/>
        <c:axId val="209974016"/>
      </c:lineChart>
      <c:lineChart>
        <c:grouping val="standard"/>
        <c:varyColors val="0"/>
        <c:ser>
          <c:idx val="1"/>
          <c:order val="1"/>
          <c:tx>
            <c:strRef>
              <c:f>'13'!$E$2</c:f>
              <c:strCache>
                <c:ptCount val="1"/>
                <c:pt idx="0">
                  <c:v>累计</c:v>
                </c:pt>
              </c:strCache>
            </c:strRef>
          </c:tx>
          <c:spPr>
            <a:ln w="6350" cap="rnd" cmpd="sng" algn="ctr">
              <a:solidFill>
                <a:srgbClr val="FF1B09"/>
              </a:solidFill>
              <a:prstDash val="solid"/>
              <a:round/>
            </a:ln>
          </c:spPr>
          <c:marker>
            <c:symbol val="circle"/>
            <c:size val="4"/>
            <c:spPr>
              <a:solidFill>
                <a:srgbClr val="FF1B09"/>
              </a:solidFill>
              <a:ln w="9525" cap="flat" cmpd="sng" algn="ctr">
                <a:solidFill>
                  <a:schemeClr val="bg1"/>
                </a:solidFill>
                <a:prstDash val="solid"/>
                <a:round/>
              </a:ln>
            </c:spPr>
          </c:marker>
          <c:dLbls>
            <c:dLbl>
              <c:idx val="0"/>
              <c:layout>
                <c:manualLayout>
                  <c:x val="-0.0566069322946485"/>
                  <c:y val="0.060292918755926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526555000154432"/>
                  <c:y val="0.027725068642277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5255837302283"/>
                  <c:y val="0.059140168438015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37609316469663"/>
                  <c:y val="0.089045510821471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624917656662705"/>
                  <c:y val="0.046905297490506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573795274867289"/>
                  <c:y val="0.05333456852924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679893529546401"/>
                  <c:y val="-0.044051573012640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568982770403507"/>
                  <c:y val="-0.060775435602256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0934377531731029"/>
                      <c:h val="0.0873362445414847"/>
                    </c:manualLayout>
                  </c15:layout>
                </c:ext>
              </c:extLst>
            </c:dLbl>
            <c:dLbl>
              <c:idx val="8"/>
              <c:layout>
                <c:manualLayout>
                  <c:x val="-0.0527278209765685"/>
                  <c:y val="-0.079097147080722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710759708021654"/>
                  <c:y val="-0.053869849812786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689537401499324"/>
                  <c:y val="-0.039364335950763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608573469713457"/>
                  <c:y val="-0.073812260690831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40797800235270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FF1B09"/>
                    </a:solidFill>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'13'!$C$3:$C$15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'13'!$E$3:$E$15</c:f>
              <c:numCache>
                <c:formatCode>0.0_);[Red]\(0.0\)</c:formatCode>
                <c:ptCount val="13"/>
                <c:pt idx="0">
                  <c:v>100.2</c:v>
                </c:pt>
                <c:pt idx="1">
                  <c:v>100.2</c:v>
                </c:pt>
                <c:pt idx="2">
                  <c:v>100.2</c:v>
                </c:pt>
                <c:pt idx="3" c:formatCode="0.0_ ">
                  <c:v>100.3</c:v>
                </c:pt>
                <c:pt idx="4">
                  <c:v>100.3</c:v>
                </c:pt>
                <c:pt idx="5">
                  <c:v>100.3</c:v>
                </c:pt>
                <c:pt idx="6">
                  <c:v>100.3</c:v>
                </c:pt>
                <c:pt idx="7" c:formatCode="0.0_ ">
                  <c:v>100.2</c:v>
                </c:pt>
                <c:pt idx="8">
                  <c:v>100.1</c:v>
                </c:pt>
                <c:pt idx="9">
                  <c:v>100.1</c:v>
                </c:pt>
                <c:pt idx="10">
                  <c:v>100.4</c:v>
                </c:pt>
                <c:pt idx="11">
                  <c:v>99.49401437</c:v>
                </c:pt>
                <c:pt idx="12">
                  <c:v>99.44658971</c:v>
                </c:pt>
              </c:numCache>
            </c:numRef>
          </c:val>
          <c:smooth val="0"/>
        </c:ser>
        <c:dLbls>
          <c:showLegendKey val="0"/>
          <c:showVal val="1"/>
          <c:showCatName val="0"/>
          <c:showSerName val="0"/>
          <c:showPercent val="0"/>
          <c:showBubbleSize val="0"/>
        </c:dLbls>
        <c:marker val="1"/>
        <c:smooth val="0"/>
        <c:axId val="209975552"/>
        <c:axId val="210391040"/>
      </c:lineChart>
      <c:catAx>
        <c:axId val="209320960"/>
        <c:scaling>
          <c:orientation val="minMax"/>
        </c:scaling>
        <c:delete val="0"/>
        <c:axPos val="b"/>
        <c:numFmt formatCode="yyyy&quot;年&quot;m&quot;月&quot;" sourceLinked="1"/>
        <c:majorTickMark val="in"/>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crossAx val="209974016"/>
        <c:crosses val="autoZero"/>
        <c:auto val="1"/>
        <c:lblAlgn val="ctr"/>
        <c:lblOffset val="100"/>
        <c:noMultiLvlLbl val="0"/>
      </c:catAx>
      <c:valAx>
        <c:axId val="209974016"/>
        <c:scaling>
          <c:orientation val="minMax"/>
          <c:max val="102"/>
          <c:min val="98"/>
        </c:scaling>
        <c:delete val="0"/>
        <c:axPos val="l"/>
        <c:majorGridlines>
          <c:spPr>
            <a:ln w="9525" cap="flat" cmpd="sng" algn="ctr">
              <a:solidFill>
                <a:sysClr val="window" lastClr="FFFFFF"/>
              </a:solidFill>
              <a:prstDash val="solid"/>
              <a:round/>
            </a:ln>
          </c:spPr>
        </c:majorGridlines>
        <c:numFmt formatCode="0.0_);[Red]\(0.0\)" sourceLinked="1"/>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09320960"/>
        <c:crosses val="autoZero"/>
        <c:crossBetween val="between"/>
      </c:valAx>
      <c:catAx>
        <c:axId val="209975552"/>
        <c:scaling>
          <c:orientation val="minMax"/>
        </c:scaling>
        <c:delete val="1"/>
        <c:axPos val="b"/>
        <c:numFmt formatCode="yyyy&quot;年&quot;m&quot;月&quot;"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391040"/>
        <c:crosses val="autoZero"/>
        <c:auto val="1"/>
        <c:lblAlgn val="ctr"/>
        <c:lblOffset val="100"/>
        <c:noMultiLvlLbl val="0"/>
      </c:catAx>
      <c:valAx>
        <c:axId val="210391040"/>
        <c:scaling>
          <c:orientation val="minMax"/>
          <c:max val="104"/>
          <c:min val="100"/>
        </c:scaling>
        <c:delete val="1"/>
        <c:axPos val="r"/>
        <c:numFmt formatCode="0.0_);[Red]\(0.0\)"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09975552"/>
        <c:crosses val="max"/>
        <c:crossBetween val="between"/>
        <c:majorUnit val="0.5"/>
      </c:valAx>
      <c:spPr>
        <a:solidFill>
          <a:srgbClr val="E6F6FD"/>
        </a:solidFill>
      </c:spPr>
    </c:plotArea>
    <c:legend>
      <c:legendPos val="b"/>
      <c:layout>
        <c:manualLayout>
          <c:xMode val="edge"/>
          <c:yMode val="edge"/>
          <c:x val="0.680254163089132"/>
          <c:y val="0.00873362445414847"/>
          <c:w val="0.315695067264636"/>
          <c:h val="0.106405270769725"/>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284859595455394"/>
          <c:y val="0.0711699979810221"/>
          <c:w val="0.958043092373683"/>
          <c:h val="0.712187958883994"/>
        </c:manualLayout>
      </c:layout>
      <c:lineChart>
        <c:grouping val="standard"/>
        <c:varyColors val="0"/>
        <c:ser>
          <c:idx val="0"/>
          <c:order val="0"/>
          <c:tx>
            <c:strRef>
              <c:f>'13'!$D$25</c:f>
              <c:strCache>
                <c:ptCount val="1"/>
                <c:pt idx="0">
                  <c:v>当月</c:v>
                </c:pt>
              </c:strCache>
            </c:strRef>
          </c:tx>
          <c:spPr>
            <a:ln w="6350" cap="rnd" cmpd="sng" algn="ctr">
              <a:solidFill>
                <a:schemeClr val="tx1">
                  <a:lumMod val="85000"/>
                  <a:lumOff val="15000"/>
                </a:schemeClr>
              </a:solidFill>
              <a:prstDash val="solid"/>
              <a:round/>
            </a:ln>
          </c:spPr>
          <c:marker>
            <c:symbol val="circle"/>
            <c:size val="4"/>
            <c:spPr>
              <a:solidFill>
                <a:schemeClr val="tx1">
                  <a:lumMod val="85000"/>
                  <a:lumOff val="15000"/>
                </a:schemeClr>
              </a:solidFill>
              <a:ln w="9525" cap="flat" cmpd="sng" algn="ctr">
                <a:solidFill>
                  <a:schemeClr val="bg1"/>
                </a:solidFill>
                <a:prstDash val="solid"/>
                <a:round/>
              </a:ln>
            </c:spPr>
          </c:marker>
          <c:dLbls>
            <c:dLbl>
              <c:idx val="0"/>
              <c:layout>
                <c:manualLayout>
                  <c:x val="-0.0852207642979472"/>
                  <c:y val="0.043201782412947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934920074727243"/>
                  <c:y val="0.068772924721178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845125729319528"/>
                  <c:y val="0.057487454137557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13341205061044"/>
                  <c:y val="0.088511775214537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04335433374994"/>
                  <c:y val="0.044631171792553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102856022880304"/>
                  <c:y val="0.0459033645260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102357017959816"/>
                  <c:y val="0.054581034170223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774550713451562"/>
                  <c:y val="-0.058352949355910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596622717019176"/>
                  <c:y val="-0.066426403486144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75934881003015"/>
                  <c:y val="0.036024781868329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458209166387073"/>
                  <c:y val="0.049512466951356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707547169811321"/>
                  <c:y val="-0.071571983347537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3646711680304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lgn="ctr">
                  <a:defRPr lang="zh-CN" altLang="en-US" sz="1000" b="0"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'13'!$C$26:$C$38</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'13'!$D$26:$D$38</c:f>
              <c:numCache>
                <c:formatCode>0.0_ </c:formatCode>
                <c:ptCount val="13"/>
                <c:pt idx="0">
                  <c:v>101</c:v>
                </c:pt>
                <c:pt idx="1">
                  <c:v>100.4</c:v>
                </c:pt>
                <c:pt idx="2">
                  <c:v>99.6</c:v>
                </c:pt>
                <c:pt idx="3">
                  <c:v>98.8</c:v>
                </c:pt>
                <c:pt idx="4">
                  <c:v>98.5</c:v>
                </c:pt>
                <c:pt idx="5">
                  <c:v>98.3</c:v>
                </c:pt>
                <c:pt idx="6">
                  <c:v>97.6</c:v>
                </c:pt>
                <c:pt idx="7">
                  <c:v>97</c:v>
                </c:pt>
                <c:pt idx="8">
                  <c:v>97.4</c:v>
                </c:pt>
                <c:pt idx="9">
                  <c:v>98</c:v>
                </c:pt>
                <c:pt idx="10">
                  <c:v>98.6</c:v>
                </c:pt>
                <c:pt idx="11">
                  <c:v>98.7</c:v>
                </c:pt>
                <c:pt idx="12">
                  <c:v>99.2</c:v>
                </c:pt>
              </c:numCache>
            </c:numRef>
          </c:val>
          <c:smooth val="0"/>
        </c:ser>
        <c:dLbls>
          <c:showLegendKey val="0"/>
          <c:showVal val="1"/>
          <c:showCatName val="0"/>
          <c:showSerName val="0"/>
          <c:showPercent val="0"/>
          <c:showBubbleSize val="0"/>
        </c:dLbls>
        <c:marker val="1"/>
        <c:smooth val="0"/>
        <c:axId val="210474880"/>
        <c:axId val="210476416"/>
      </c:lineChart>
      <c:lineChart>
        <c:grouping val="standard"/>
        <c:varyColors val="0"/>
        <c:ser>
          <c:idx val="1"/>
          <c:order val="1"/>
          <c:tx>
            <c:strRef>
              <c:f>'13'!$E$25</c:f>
              <c:strCache>
                <c:ptCount val="1"/>
                <c:pt idx="0">
                  <c:v>累计</c:v>
                </c:pt>
              </c:strCache>
            </c:strRef>
          </c:tx>
          <c:spPr>
            <a:ln w="6350" cap="rnd" cmpd="sng" algn="ctr">
              <a:solidFill>
                <a:srgbClr val="FF1B09"/>
              </a:solidFill>
              <a:prstDash val="solid"/>
              <a:round/>
            </a:ln>
          </c:spPr>
          <c:marker>
            <c:symbol val="circle"/>
            <c:size val="4"/>
            <c:spPr>
              <a:solidFill>
                <a:srgbClr val="FF1B09"/>
              </a:solidFill>
              <a:ln w="9525" cap="flat" cmpd="sng" algn="ctr">
                <a:solidFill>
                  <a:schemeClr val="bg1"/>
                </a:solidFill>
                <a:prstDash val="solid"/>
                <a:round/>
              </a:ln>
            </c:spPr>
          </c:marker>
          <c:dLbls>
            <c:dLbl>
              <c:idx val="0"/>
              <c:layout>
                <c:manualLayout>
                  <c:x val="-0.0668276128211782"/>
                  <c:y val="-0.045456375037847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27878603960372"/>
                  <c:y val="-0.076972215705772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513589883163612"/>
                  <c:y val="-0.04068504396700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94522550475816"/>
                  <c:y val="-0.11649763865962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749214625501229"/>
                  <c:y val="-0.068525409170865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681418754249124"/>
                  <c:y val="-0.047618151243132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576356439363024"/>
                  <c:y val="-0.059849309129662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618214590340953"/>
                  <c:y val="-0.043370100735137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97691065177599"/>
                  <c:y val="-0.06691963797613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498514333485951"/>
                  <c:y val="-0.035956301014755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548358813638866"/>
                  <c:y val="-0.049367435952510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620194446062744"/>
                  <c:y val="0.0711719857428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5815946091802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lgn="ctr">
                  <a:defRPr lang="zh-CN" altLang="en-US" sz="1000" b="0" i="0" u="none" strike="noStrike" kern="1200" baseline="0">
                    <a:solidFill>
                      <a:srgbClr val="FF1B09"/>
                    </a:solidFill>
                    <a:latin typeface="Times New Roman" panose="02020603050405020304" pitchFamily="18" charset="0"/>
                    <a:ea typeface="+mn-ea"/>
                    <a:cs typeface="Times New Roman" panose="02020603050405020304" pitchFamily="18"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'13'!$C$26:$C$38</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'13'!$E$26:$E$38</c:f>
              <c:numCache>
                <c:formatCode>0.0_ </c:formatCode>
                <c:ptCount val="13"/>
                <c:pt idx="0">
                  <c:v>101.3</c:v>
                </c:pt>
                <c:pt idx="1">
                  <c:v>101</c:v>
                </c:pt>
                <c:pt idx="2">
                  <c:v>100.7</c:v>
                </c:pt>
                <c:pt idx="3">
                  <c:v>100.4</c:v>
                </c:pt>
                <c:pt idx="4">
                  <c:v>100.1</c:v>
                </c:pt>
                <c:pt idx="5">
                  <c:v>99.9</c:v>
                </c:pt>
                <c:pt idx="6">
                  <c:v>99.7</c:v>
                </c:pt>
                <c:pt idx="7">
                  <c:v>99.4</c:v>
                </c:pt>
                <c:pt idx="8">
                  <c:v>99.2</c:v>
                </c:pt>
                <c:pt idx="9">
                  <c:v>99.1</c:v>
                </c:pt>
                <c:pt idx="10">
                  <c:v>98.6</c:v>
                </c:pt>
                <c:pt idx="11">
                  <c:v>98.6</c:v>
                </c:pt>
                <c:pt idx="12">
                  <c:v>98.8</c:v>
                </c:pt>
              </c:numCache>
            </c:numRef>
          </c:val>
          <c:smooth val="0"/>
        </c:ser>
        <c:dLbls>
          <c:showLegendKey val="0"/>
          <c:showVal val="1"/>
          <c:showCatName val="0"/>
          <c:showSerName val="0"/>
          <c:showPercent val="0"/>
          <c:showBubbleSize val="0"/>
        </c:dLbls>
        <c:marker val="1"/>
        <c:smooth val="0"/>
        <c:axId val="210535552"/>
        <c:axId val="210537088"/>
      </c:lineChart>
      <c:catAx>
        <c:axId val="210474880"/>
        <c:scaling>
          <c:orientation val="minMax"/>
        </c:scaling>
        <c:delete val="0"/>
        <c:axPos val="b"/>
        <c:numFmt formatCode="yyyy&quot;年&quot;m&quot;月&quot;" sourceLinked="1"/>
        <c:majorTickMark val="in"/>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crossAx val="210476416"/>
        <c:crosses val="autoZero"/>
        <c:auto val="1"/>
        <c:lblAlgn val="ctr"/>
        <c:lblOffset val="100"/>
        <c:noMultiLvlLbl val="0"/>
      </c:catAx>
      <c:valAx>
        <c:axId val="210476416"/>
        <c:scaling>
          <c:orientation val="minMax"/>
          <c:max val="107"/>
          <c:min val="97"/>
        </c:scaling>
        <c:delete val="0"/>
        <c:axPos val="l"/>
        <c:majorGridlines>
          <c:spPr>
            <a:ln w="9525" cap="flat" cmpd="sng" algn="ctr">
              <a:solidFill>
                <a:sysClr val="window" lastClr="FFFFFF"/>
              </a:solidFill>
              <a:prstDash val="solid"/>
              <a:round/>
            </a:ln>
          </c:spPr>
        </c:majorGridlines>
        <c:numFmt formatCode="0.0_ " sourceLinked="1"/>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474880"/>
        <c:crosses val="autoZero"/>
        <c:crossBetween val="between"/>
      </c:valAx>
      <c:catAx>
        <c:axId val="210535552"/>
        <c:scaling>
          <c:orientation val="minMax"/>
        </c:scaling>
        <c:delete val="1"/>
        <c:axPos val="b"/>
        <c:numFmt formatCode="yyyy&quot;年&quot;m&quot;月&quot;"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537088"/>
        <c:crosses val="autoZero"/>
        <c:auto val="1"/>
        <c:lblAlgn val="ctr"/>
        <c:lblOffset val="100"/>
        <c:noMultiLvlLbl val="0"/>
      </c:catAx>
      <c:valAx>
        <c:axId val="210537088"/>
        <c:scaling>
          <c:orientation val="minMax"/>
          <c:max val="104"/>
        </c:scaling>
        <c:delete val="1"/>
        <c:axPos val="r"/>
        <c:numFmt formatCode="0.0_);[Red]\(0.0\)"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535552"/>
        <c:crosses val="max"/>
        <c:crossBetween val="between"/>
      </c:valAx>
      <c:spPr>
        <a:solidFill>
          <a:srgbClr val="E6F6FD"/>
        </a:solidFill>
      </c:spPr>
    </c:plotArea>
    <c:legend>
      <c:legendPos val="b"/>
      <c:layout>
        <c:manualLayout>
          <c:xMode val="edge"/>
          <c:yMode val="edge"/>
          <c:x val="0.68096805899758"/>
          <c:y val="0.0205996073518836"/>
          <c:w val="0.314988814317784"/>
          <c:h val="0.115916111447608"/>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solidFill>
        <a:srgbClr val="D3E0F9"/>
      </a:solidFill>
      <a:prstDash val="solid"/>
      <a:round/>
    </a:ln>
  </c:spPr>
  <c:txPr>
    <a:bodyPr/>
    <a:lstStyle/>
    <a:p>
      <a:pPr>
        <a:defRPr lang="zh-CN"/>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535127055307"/>
          <c:y val="0.0701754385964912"/>
          <c:w val="0.934230194319882"/>
          <c:h val="0.683552590860598"/>
        </c:manualLayout>
      </c:layout>
      <c:lineChart>
        <c:grouping val="standard"/>
        <c:varyColors val="0"/>
        <c:ser>
          <c:idx val="0"/>
          <c:order val="0"/>
          <c:tx>
            <c:strRef>
              <c:f>'14'!$D$2</c:f>
              <c:strCache>
                <c:ptCount val="1"/>
                <c:pt idx="0">
                  <c:v>当月</c:v>
                </c:pt>
              </c:strCache>
            </c:strRef>
          </c:tx>
          <c:spPr>
            <a:ln w="6350" cap="rnd" cmpd="sng" algn="ctr">
              <a:solidFill>
                <a:schemeClr val="tx1">
                  <a:lumMod val="85000"/>
                  <a:lumOff val="15000"/>
                </a:schemeClr>
              </a:solidFill>
              <a:prstDash val="solid"/>
              <a:round/>
            </a:ln>
          </c:spPr>
          <c:marker>
            <c:symbol val="circle"/>
            <c:size val="4"/>
            <c:spPr>
              <a:solidFill>
                <a:schemeClr val="tx1">
                  <a:lumMod val="85000"/>
                  <a:lumOff val="15000"/>
                </a:schemeClr>
              </a:solidFill>
              <a:ln w="9525" cap="flat" cmpd="sng" algn="ctr">
                <a:solidFill>
                  <a:schemeClr val="bg1"/>
                </a:solidFill>
                <a:prstDash val="solid"/>
                <a:round/>
              </a:ln>
            </c:spPr>
          </c:marker>
          <c:dLbls>
            <c:dLbl>
              <c:idx val="0"/>
              <c:layout>
                <c:manualLayout>
                  <c:x val="-0.0752075828578107"/>
                  <c:y val="-0.05575756977746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628740703085759"/>
                  <c:y val="-0.040565136781483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648045605562732"/>
                  <c:y val="-0.047195356039010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751136205467101"/>
                  <c:y val="-0.05711972138853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73960772922304"/>
                  <c:y val="-0.04862572855249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821517401644853"/>
                  <c:y val="-0.049807933396971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599783349370342"/>
                  <c:y val="-0.05341047980356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589193152475374"/>
                  <c:y val="-0.059479999210624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700997800376168"/>
                  <c:y val="-0.044954380702412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689469448025031"/>
                  <c:y val="-0.044716015301581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634554283953372"/>
                  <c:y val="-0.037073655266775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549735938878091"/>
                  <c:y val="-0.043606983337608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6366937757234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'14'!$C$3:$C$15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'14'!$D$3:$D$15</c:f>
              <c:numCache>
                <c:formatCode>0.0_ </c:formatCode>
                <c:ptCount val="13"/>
                <c:pt idx="0">
                  <c:v>96.4075</c:v>
                </c:pt>
                <c:pt idx="1">
                  <c:v>97.1562</c:v>
                </c:pt>
                <c:pt idx="2">
                  <c:v>98.5246</c:v>
                </c:pt>
                <c:pt idx="3">
                  <c:v>99.0738</c:v>
                </c:pt>
                <c:pt idx="4">
                  <c:v>100.0752</c:v>
                </c:pt>
                <c:pt idx="5">
                  <c:v>99.8418</c:v>
                </c:pt>
                <c:pt idx="6">
                  <c:v>98.7003</c:v>
                </c:pt>
                <c:pt idx="7">
                  <c:v>98.009</c:v>
                </c:pt>
                <c:pt idx="8">
                  <c:v>98.5955</c:v>
                </c:pt>
                <c:pt idx="9">
                  <c:v>98.0065</c:v>
                </c:pt>
                <c:pt idx="10">
                  <c:v>98.1</c:v>
                </c:pt>
                <c:pt idx="11">
                  <c:v>97.8767</c:v>
                </c:pt>
                <c:pt idx="12">
                  <c:v>96.841</c:v>
                </c:pt>
              </c:numCache>
            </c:numRef>
          </c:val>
          <c:smooth val="0"/>
        </c:ser>
        <c:ser>
          <c:idx val="1"/>
          <c:order val="1"/>
          <c:tx>
            <c:strRef>
              <c:f>'14'!$E$2</c:f>
              <c:strCache>
                <c:ptCount val="1"/>
                <c:pt idx="0">
                  <c:v>累计</c:v>
                </c:pt>
              </c:strCache>
            </c:strRef>
          </c:tx>
          <c:spPr>
            <a:ln w="6350" cap="rnd" cmpd="sng" algn="ctr">
              <a:solidFill>
                <a:srgbClr val="FF1B09"/>
              </a:solidFill>
              <a:prstDash val="solid"/>
              <a:round/>
            </a:ln>
          </c:spPr>
          <c:marker>
            <c:symbol val="circle"/>
            <c:size val="4"/>
            <c:spPr>
              <a:solidFill>
                <a:srgbClr val="FF1B09"/>
              </a:solidFill>
              <a:ln w="9525" cap="flat" cmpd="sng" algn="ctr">
                <a:solidFill>
                  <a:schemeClr val="bg1"/>
                </a:solidFill>
                <a:prstDash val="solid"/>
                <a:round/>
              </a:ln>
            </c:spPr>
          </c:marker>
          <c:dLbls>
            <c:dLbl>
              <c:idx val="0"/>
              <c:layout>
                <c:manualLayout>
                  <c:x val="-0.0713557971245497"/>
                  <c:y val="0.04535886961498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771379120446857"/>
                  <c:y val="0.052652064780111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710650375507588"/>
                  <c:y val="0.075462466754974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750198192964301"/>
                  <c:y val="0.054264603387458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710650375507586"/>
                  <c:y val="0.057300970566452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679816996786553"/>
                  <c:y val="0.060827129141607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630616728091357"/>
                  <c:y val="0.052073207006329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172352747404549"/>
                  <c:y val="0.061227478144178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123115602452528"/>
                  <c:y val="0.072199856596872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603625660152809"/>
                  <c:y val="0.06022220906597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610377548960229"/>
                  <c:y val="0.040036771719324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49275824327627"/>
                  <c:y val="0.070927778764496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71383882691519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FF1B09"/>
                    </a:solidFill>
                    <a:latin typeface="Times New Roman" panose="02020603050405020304" pitchFamily="18" charset="0"/>
                    <a:ea typeface="+mn-ea"/>
                    <a:cs typeface="Times New Roman" panose="02020603050405020304" pitchFamily="18"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'14'!$C$3:$C$15</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'14'!$E$3:$E$15</c:f>
              <c:numCache>
                <c:formatCode>0.0_ </c:formatCode>
                <c:ptCount val="13"/>
                <c:pt idx="0">
                  <c:v>95.8735</c:v>
                </c:pt>
                <c:pt idx="1">
                  <c:v>96.1916</c:v>
                </c:pt>
                <c:pt idx="2">
                  <c:v>96.6505</c:v>
                </c:pt>
                <c:pt idx="3">
                  <c:v>97.0457</c:v>
                </c:pt>
                <c:pt idx="4">
                  <c:v>97.465</c:v>
                </c:pt>
                <c:pt idx="5">
                  <c:v>97.7542</c:v>
                </c:pt>
                <c:pt idx="6">
                  <c:v>97.8573</c:v>
                </c:pt>
                <c:pt idx="7">
                  <c:v>97.8722</c:v>
                </c:pt>
                <c:pt idx="8">
                  <c:v>97.9366</c:v>
                </c:pt>
                <c:pt idx="9">
                  <c:v>97.9423</c:v>
                </c:pt>
                <c:pt idx="10">
                  <c:v>98.1</c:v>
                </c:pt>
                <c:pt idx="11">
                  <c:v>98.0053</c:v>
                </c:pt>
                <c:pt idx="12">
                  <c:v>97.6153</c:v>
                </c:pt>
              </c:numCache>
            </c:numRef>
          </c:val>
          <c:smooth val="0"/>
        </c:ser>
        <c:dLbls>
          <c:showLegendKey val="0"/>
          <c:showVal val="1"/>
          <c:showCatName val="0"/>
          <c:showSerName val="0"/>
          <c:showPercent val="0"/>
          <c:showBubbleSize val="0"/>
        </c:dLbls>
        <c:marker val="1"/>
        <c:smooth val="0"/>
        <c:axId val="210763776"/>
        <c:axId val="210765312"/>
      </c:lineChart>
      <c:catAx>
        <c:axId val="210763776"/>
        <c:scaling>
          <c:orientation val="minMax"/>
        </c:scaling>
        <c:delete val="0"/>
        <c:axPos val="b"/>
        <c:numFmt formatCode="yyyy&quot;年&quot;m&quot;月&quot;" sourceLinked="1"/>
        <c:majorTickMark val="in"/>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crossAx val="210765312"/>
        <c:crosses val="autoZero"/>
        <c:auto val="1"/>
        <c:lblAlgn val="ctr"/>
        <c:lblOffset val="100"/>
        <c:noMultiLvlLbl val="0"/>
      </c:catAx>
      <c:valAx>
        <c:axId val="210765312"/>
        <c:scaling>
          <c:orientation val="minMax"/>
          <c:min val="90"/>
        </c:scaling>
        <c:delete val="0"/>
        <c:axPos val="l"/>
        <c:majorGridlines>
          <c:spPr>
            <a:ln w="9525" cap="flat" cmpd="sng" algn="ctr">
              <a:solidFill>
                <a:sysClr val="window" lastClr="FFFFFF"/>
              </a:solidFill>
              <a:prstDash val="solid"/>
              <a:round/>
            </a:ln>
          </c:spPr>
        </c:majorGridlines>
        <c:numFmt formatCode="0.0_ " sourceLinked="1"/>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763776"/>
        <c:crosses val="autoZero"/>
        <c:crossBetween val="between"/>
      </c:valAx>
      <c:spPr>
        <a:solidFill>
          <a:srgbClr val="E6F6FD"/>
        </a:solidFill>
      </c:spPr>
    </c:plotArea>
    <c:legend>
      <c:legendPos val="b"/>
      <c:layout>
        <c:manualLayout>
          <c:xMode val="edge"/>
          <c:yMode val="edge"/>
          <c:x val="0.661406012362413"/>
          <c:y val="0.578901671133903"/>
          <c:w val="0.315695067264636"/>
          <c:h val="0.108981903577842"/>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147346492002"/>
          <c:y val="0.0695100997837825"/>
          <c:w val="0.934230194319882"/>
          <c:h val="0.696683200943521"/>
        </c:manualLayout>
      </c:layout>
      <c:lineChart>
        <c:grouping val="standard"/>
        <c:varyColors val="0"/>
        <c:ser>
          <c:idx val="0"/>
          <c:order val="0"/>
          <c:tx>
            <c:strRef>
              <c:f>'14'!$D$25</c:f>
              <c:strCache>
                <c:ptCount val="1"/>
                <c:pt idx="0">
                  <c:v>当月</c:v>
                </c:pt>
              </c:strCache>
            </c:strRef>
          </c:tx>
          <c:spPr>
            <a:ln w="6350" cap="rnd" cmpd="sng" algn="ctr">
              <a:solidFill>
                <a:schemeClr val="tx1">
                  <a:lumMod val="85000"/>
                  <a:lumOff val="15000"/>
                </a:schemeClr>
              </a:solidFill>
              <a:prstDash val="solid"/>
              <a:round/>
            </a:ln>
          </c:spPr>
          <c:marker>
            <c:symbol val="circle"/>
            <c:size val="4"/>
            <c:spPr>
              <a:solidFill>
                <a:schemeClr val="tx1">
                  <a:lumMod val="85000"/>
                  <a:lumOff val="15000"/>
                </a:schemeClr>
              </a:solidFill>
              <a:ln w="9525" cap="flat" cmpd="sng" algn="ctr">
                <a:solidFill>
                  <a:schemeClr val="bg1"/>
                </a:solidFill>
                <a:prstDash val="solid"/>
                <a:round/>
              </a:ln>
            </c:spPr>
          </c:marker>
          <c:dLbls>
            <c:dLbl>
              <c:idx val="0"/>
              <c:layout>
                <c:manualLayout>
                  <c:x val="-0.0513757931401472"/>
                  <c:y val="-0.066544116196001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400921866108582"/>
                  <c:y val="-0.0724436419131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574519476094963"/>
                  <c:y val="-0.05489932179530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91215126710272"/>
                  <c:y val="-0.057400916990639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685425746586923"/>
                  <c:y val="-0.05536326131039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575485799701048"/>
                  <c:y val="-0.055004418500550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290961112207732"/>
                  <c:y val="-0.059699310713914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300602630194804"/>
                  <c:y val="0.036063911614572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527251998761539"/>
                  <c:y val="-0.0412927989264497"/>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534497845531148"/>
                  <c:y val="0.04623783869121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349299819688269"/>
                  <c:y val="0.038046033719469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66613723034542"/>
                  <c:y val="0.050002828593794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85874397279287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lgn="ctr">
                  <a:defRPr lang="zh-CN" altLang="en-US" sz="1000" b="0"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'14'!$C$26:$C$38</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'14'!$D$26:$D$38</c:f>
              <c:numCache>
                <c:formatCode>0.0_ </c:formatCode>
                <c:ptCount val="13"/>
                <c:pt idx="0">
                  <c:v>98.807</c:v>
                </c:pt>
                <c:pt idx="1">
                  <c:v>98.7685</c:v>
                </c:pt>
                <c:pt idx="2">
                  <c:v>99.2507</c:v>
                </c:pt>
                <c:pt idx="3">
                  <c:v>99.6615</c:v>
                </c:pt>
                <c:pt idx="4">
                  <c:v>99.9604</c:v>
                </c:pt>
                <c:pt idx="5">
                  <c:v>99.4362</c:v>
                </c:pt>
                <c:pt idx="6">
                  <c:v>98.2772</c:v>
                </c:pt>
                <c:pt idx="7">
                  <c:v>98.3854</c:v>
                </c:pt>
                <c:pt idx="8">
                  <c:v>99.1269</c:v>
                </c:pt>
                <c:pt idx="9">
                  <c:v>98.8374</c:v>
                </c:pt>
                <c:pt idx="10">
                  <c:v>98.8</c:v>
                </c:pt>
                <c:pt idx="11">
                  <c:v>98.3104</c:v>
                </c:pt>
                <c:pt idx="12">
                  <c:v>97.8812</c:v>
                </c:pt>
              </c:numCache>
            </c:numRef>
          </c:val>
          <c:smooth val="0"/>
        </c:ser>
        <c:ser>
          <c:idx val="1"/>
          <c:order val="1"/>
          <c:tx>
            <c:strRef>
              <c:f>'14'!$E$25</c:f>
              <c:strCache>
                <c:ptCount val="1"/>
                <c:pt idx="0">
                  <c:v>累计</c:v>
                </c:pt>
              </c:strCache>
            </c:strRef>
          </c:tx>
          <c:spPr>
            <a:ln w="6350" cap="rnd" cmpd="sng" algn="ctr">
              <a:solidFill>
                <a:srgbClr val="FF1B09"/>
              </a:solidFill>
              <a:prstDash val="solid"/>
              <a:round/>
            </a:ln>
          </c:spPr>
          <c:marker>
            <c:symbol val="circle"/>
            <c:size val="4"/>
            <c:spPr>
              <a:solidFill>
                <a:srgbClr val="FF1B09"/>
              </a:solidFill>
              <a:ln w="9525" cap="flat" cmpd="sng" algn="ctr">
                <a:solidFill>
                  <a:schemeClr val="bg1"/>
                </a:solidFill>
                <a:prstDash val="solid"/>
                <a:round/>
              </a:ln>
            </c:spPr>
          </c:marker>
          <c:dLbls>
            <c:dLbl>
              <c:idx val="0"/>
              <c:layout>
                <c:manualLayout>
                  <c:x val="-0.0594768225449702"/>
                  <c:y val="0.05701320229708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65650104006933"/>
                  <c:y val="0.042862602700978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698951276383929"/>
                  <c:y val="0.064721710168776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5747200488272"/>
                  <c:y val="0.06792882167262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668084335126813"/>
                  <c:y val="0.044723401865514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607322790433319"/>
                  <c:y val="0.04662886302207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616964308420392"/>
                  <c:y val="0.047644016964840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557173575983923"/>
                  <c:y val="-0.055747849800712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0484828965067505"/>
                  <c:y val="0.05512883258013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0555239024044376"/>
                  <c:y val="-0.051779382840302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474223631119715"/>
                  <c:y val="-0.0500836737513074"/>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0399955695058869"/>
                  <c:y val="-0.044051730375808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
                  <c:y val="-0.053710654589229"/>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w="25400">
                <a:noFill/>
              </a:ln>
              <a:effectLst/>
            </c:spPr>
            <c:txPr>
              <a:bodyPr rot="0" spcFirstLastPara="0" vertOverflow="ellipsis" vert="horz" wrap="square" lIns="38100" tIns="19050" rIns="38100" bIns="19050" anchor="ctr" anchorCtr="1"/>
              <a:lstStyle/>
              <a:p>
                <a:pPr algn="ctr">
                  <a:defRPr lang="zh-CN" altLang="en-US" sz="1000" b="0" i="0" u="none" strike="noStrike" kern="1200" baseline="0">
                    <a:solidFill>
                      <a:srgbClr val="FF1B09"/>
                    </a:solidFill>
                    <a:latin typeface="Times New Roman" panose="02020603050405020304" pitchFamily="18" charset="0"/>
                    <a:ea typeface="+mn-ea"/>
                    <a:cs typeface="Times New Roman" panose="02020603050405020304" pitchFamily="18"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'14'!$C$26:$C$38</c:f>
              <c:strCache>
                <c:ptCount val="13"/>
                <c:pt idx="0" c:formatCode="yyyy&quot;年&quot;m&quot;月&quot;">
                  <c:v>2024年3月</c:v>
                </c:pt>
                <c:pt idx="1" c:formatCode="yyyy&quot;年&quot;m&quot;月&quot;">
                  <c:v>4月</c:v>
                </c:pt>
                <c:pt idx="2" c:formatCode="yyyy&quot;年&quot;m&quot;月&quot;">
                  <c:v>5月</c:v>
                </c:pt>
                <c:pt idx="3" c:formatCode="yyyy&quot;年&quot;m&quot;月&quot;">
                  <c:v>6月</c:v>
                </c:pt>
                <c:pt idx="4" c:formatCode="yyyy&quot;年&quot;m&quot;月&quot;">
                  <c:v>7月</c:v>
                </c:pt>
                <c:pt idx="5" c:formatCode="yyyy&quot;年&quot;m&quot;月&quot;">
                  <c:v>8月</c:v>
                </c:pt>
                <c:pt idx="6" c:formatCode="yyyy&quot;年&quot;m&quot;月&quot;">
                  <c:v>9月</c:v>
                </c:pt>
                <c:pt idx="7" c:formatCode="yyyy&quot;年&quot;m&quot;月&quot;">
                  <c:v>10月</c:v>
                </c:pt>
                <c:pt idx="8" c:formatCode="yyyy&quot;年&quot;m&quot;月&quot;">
                  <c:v>11月</c:v>
                </c:pt>
                <c:pt idx="9" c:formatCode="yyyy&quot;年&quot;m&quot;月&quot;">
                  <c:v>12月</c:v>
                </c:pt>
                <c:pt idx="10" c:formatCode="yyyy&quot;年&quot;m&quot;月&quot;">
                  <c:v>2025年1月</c:v>
                </c:pt>
                <c:pt idx="11" c:formatCode="yyyy&quot;年&quot;m&quot;月&quot;">
                  <c:v>2月</c:v>
                </c:pt>
                <c:pt idx="12" c:formatCode="yyyy&quot;年&quot;m&quot;月&quot;">
                  <c:v>3月</c:v>
                </c:pt>
              </c:strCache>
            </c:strRef>
          </c:cat>
          <c:val>
            <c:numRef>
              <c:f>'14'!$E$26:$E$38</c:f>
              <c:numCache>
                <c:formatCode>0.0_ </c:formatCode>
                <c:ptCount val="13"/>
                <c:pt idx="0">
                  <c:v>98.8001</c:v>
                </c:pt>
                <c:pt idx="1">
                  <c:v>98.7922</c:v>
                </c:pt>
                <c:pt idx="2">
                  <c:v>98.8836</c:v>
                </c:pt>
                <c:pt idx="3">
                  <c:v>99.013</c:v>
                </c:pt>
                <c:pt idx="4">
                  <c:v>99.1478</c:v>
                </c:pt>
                <c:pt idx="5">
                  <c:v>99.1837</c:v>
                </c:pt>
                <c:pt idx="6">
                  <c:v>99.0827</c:v>
                </c:pt>
                <c:pt idx="7">
                  <c:v>99.0131</c:v>
                </c:pt>
                <c:pt idx="8">
                  <c:v>99.0234</c:v>
                </c:pt>
                <c:pt idx="9">
                  <c:v>99.008</c:v>
                </c:pt>
                <c:pt idx="10">
                  <c:v>98.8</c:v>
                </c:pt>
                <c:pt idx="11">
                  <c:v>98.5799</c:v>
                </c:pt>
                <c:pt idx="12">
                  <c:v>98.3468</c:v>
                </c:pt>
              </c:numCache>
            </c:numRef>
          </c:val>
          <c:smooth val="0"/>
        </c:ser>
        <c:dLbls>
          <c:showLegendKey val="0"/>
          <c:showVal val="1"/>
          <c:showCatName val="0"/>
          <c:showSerName val="0"/>
          <c:showPercent val="0"/>
          <c:showBubbleSize val="0"/>
        </c:dLbls>
        <c:marker val="1"/>
        <c:smooth val="0"/>
        <c:axId val="210921728"/>
        <c:axId val="211058688"/>
      </c:lineChart>
      <c:catAx>
        <c:axId val="210921728"/>
        <c:scaling>
          <c:orientation val="minMax"/>
        </c:scaling>
        <c:delete val="0"/>
        <c:axPos val="b"/>
        <c:numFmt formatCode="yyyy&quot;年&quot;m&quot;月&quot;" sourceLinked="1"/>
        <c:majorTickMark val="in"/>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mn-lt"/>
                <a:ea typeface="+mn-ea"/>
                <a:cs typeface="+mn-cs"/>
              </a:defRPr>
            </a:pPr>
          </a:p>
        </c:txPr>
        <c:crossAx val="211058688"/>
        <c:crosses val="autoZero"/>
        <c:auto val="1"/>
        <c:lblAlgn val="ctr"/>
        <c:lblOffset val="100"/>
        <c:noMultiLvlLbl val="0"/>
      </c:catAx>
      <c:valAx>
        <c:axId val="211058688"/>
        <c:scaling>
          <c:orientation val="minMax"/>
        </c:scaling>
        <c:delete val="0"/>
        <c:axPos val="l"/>
        <c:majorGridlines>
          <c:spPr>
            <a:ln w="9525" cap="flat" cmpd="sng" algn="ctr">
              <a:solidFill>
                <a:sysClr val="window" lastClr="FFFFFF"/>
              </a:solidFill>
              <a:prstDash val="solid"/>
              <a:round/>
            </a:ln>
          </c:spPr>
        </c:majorGridlines>
        <c:numFmt formatCode="0.0_ " sourceLinked="1"/>
        <c:majorTickMark val="in"/>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921728"/>
        <c:crosses val="autoZero"/>
        <c:crossBetween val="between"/>
      </c:valAx>
      <c:spPr>
        <a:solidFill>
          <a:srgbClr val="E6F6FD"/>
        </a:solidFill>
      </c:spPr>
    </c:plotArea>
    <c:legend>
      <c:legendPos val="b"/>
      <c:layout>
        <c:manualLayout>
          <c:xMode val="edge"/>
          <c:yMode val="edge"/>
          <c:x val="0.668720048857517"/>
          <c:y val="0.62230017300469"/>
          <c:w val="0.315695067264636"/>
          <c:h val="0.114268015076315"/>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rgbClr val="E6F6FD"/>
    </a:solidFill>
    <a:ln w="9525" cap="flat" cmpd="sng" algn="ctr">
      <a:no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4" Type="http://schemas.openxmlformats.org/officeDocument/2006/relationships/chart" Target="../charts/chart16.xml"/><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9039</xdr:colOff>
      <xdr:row>2</xdr:row>
      <xdr:rowOff>0</xdr:rowOff>
    </xdr:from>
    <xdr:to>
      <xdr:col>11</xdr:col>
      <xdr:colOff>673616</xdr:colOff>
      <xdr:row>13</xdr:row>
      <xdr:rowOff>0</xdr:rowOff>
    </xdr:to>
    <xdr:graphicFrame>
      <xdr:nvGraphicFramePr>
        <xdr:cNvPr id="2" name="图表 1"/>
        <xdr:cNvGraphicFramePr/>
      </xdr:nvGraphicFramePr>
      <xdr:xfrm>
        <a:off x="6914515" y="321945"/>
        <a:ext cx="4601210" cy="22002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12</xdr:col>
      <xdr:colOff>6350</xdr:colOff>
      <xdr:row>30</xdr:row>
      <xdr:rowOff>66675</xdr:rowOff>
    </xdr:to>
    <xdr:graphicFrame>
      <xdr:nvGraphicFramePr>
        <xdr:cNvPr id="3" name="图表 2"/>
        <xdr:cNvGraphicFramePr/>
      </xdr:nvGraphicFramePr>
      <xdr:xfrm>
        <a:off x="6905625" y="3646170"/>
        <a:ext cx="4616450" cy="22669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9525</xdr:colOff>
      <xdr:row>2</xdr:row>
      <xdr:rowOff>0</xdr:rowOff>
    </xdr:from>
    <xdr:to>
      <xdr:col>11</xdr:col>
      <xdr:colOff>683141</xdr:colOff>
      <xdr:row>12</xdr:row>
      <xdr:rowOff>126578</xdr:rowOff>
    </xdr:to>
    <xdr:graphicFrame>
      <xdr:nvGraphicFramePr>
        <xdr:cNvPr id="2" name="图表 1"/>
        <xdr:cNvGraphicFramePr/>
      </xdr:nvGraphicFramePr>
      <xdr:xfrm>
        <a:off x="7153275" y="321945"/>
        <a:ext cx="4616450" cy="2126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19050</xdr:rowOff>
    </xdr:from>
    <xdr:to>
      <xdr:col>12</xdr:col>
      <xdr:colOff>0</xdr:colOff>
      <xdr:row>28</xdr:row>
      <xdr:rowOff>145628</xdr:rowOff>
    </xdr:to>
    <xdr:graphicFrame>
      <xdr:nvGraphicFramePr>
        <xdr:cNvPr id="3" name="图表 2"/>
        <xdr:cNvGraphicFramePr/>
      </xdr:nvGraphicFramePr>
      <xdr:xfrm>
        <a:off x="7143750" y="3465195"/>
        <a:ext cx="4705350" cy="21266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xdr:col>
      <xdr:colOff>9525</xdr:colOff>
      <xdr:row>2</xdr:row>
      <xdr:rowOff>0</xdr:rowOff>
    </xdr:from>
    <xdr:to>
      <xdr:col>11</xdr:col>
      <xdr:colOff>683141</xdr:colOff>
      <xdr:row>12</xdr:row>
      <xdr:rowOff>126578</xdr:rowOff>
    </xdr:to>
    <xdr:graphicFrame>
      <xdr:nvGraphicFramePr>
        <xdr:cNvPr id="2" name="图表 1"/>
        <xdr:cNvGraphicFramePr/>
      </xdr:nvGraphicFramePr>
      <xdr:xfrm>
        <a:off x="7181850" y="321945"/>
        <a:ext cx="4616450" cy="2126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19050</xdr:rowOff>
    </xdr:from>
    <xdr:to>
      <xdr:col>12</xdr:col>
      <xdr:colOff>0</xdr:colOff>
      <xdr:row>28</xdr:row>
      <xdr:rowOff>145628</xdr:rowOff>
    </xdr:to>
    <xdr:graphicFrame>
      <xdr:nvGraphicFramePr>
        <xdr:cNvPr id="3" name="图表 2"/>
        <xdr:cNvGraphicFramePr/>
      </xdr:nvGraphicFramePr>
      <xdr:xfrm>
        <a:off x="7172325" y="3465195"/>
        <a:ext cx="4705350" cy="21266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4</xdr:row>
      <xdr:rowOff>9525</xdr:rowOff>
    </xdr:from>
    <xdr:to>
      <xdr:col>13</xdr:col>
      <xdr:colOff>9525</xdr:colOff>
      <xdr:row>14</xdr:row>
      <xdr:rowOff>135890</xdr:rowOff>
    </xdr:to>
    <xdr:graphicFrame>
      <xdr:nvGraphicFramePr>
        <xdr:cNvPr id="4" name="图表 3"/>
        <xdr:cNvGraphicFramePr/>
      </xdr:nvGraphicFramePr>
      <xdr:xfrm>
        <a:off x="6629400" y="733425"/>
        <a:ext cx="4705350" cy="2126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2559050</xdr:colOff>
      <xdr:row>21</xdr:row>
      <xdr:rowOff>9525</xdr:rowOff>
    </xdr:from>
    <xdr:to>
      <xdr:col>13</xdr:col>
      <xdr:colOff>12700</xdr:colOff>
      <xdr:row>32</xdr:row>
      <xdr:rowOff>9525</xdr:rowOff>
    </xdr:to>
    <xdr:graphicFrame>
      <xdr:nvGraphicFramePr>
        <xdr:cNvPr id="5" name="图表 4"/>
        <xdr:cNvGraphicFramePr/>
      </xdr:nvGraphicFramePr>
      <xdr:xfrm>
        <a:off x="6616700" y="4095750"/>
        <a:ext cx="4721225" cy="2200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3</xdr:col>
      <xdr:colOff>4600575</xdr:colOff>
      <xdr:row>4</xdr:row>
      <xdr:rowOff>9525</xdr:rowOff>
    </xdr:from>
    <xdr:to>
      <xdr:col>10</xdr:col>
      <xdr:colOff>752475</xdr:colOff>
      <xdr:row>14</xdr:row>
      <xdr:rowOff>190500</xdr:rowOff>
    </xdr:to>
    <xdr:graphicFrame>
      <xdr:nvGraphicFramePr>
        <xdr:cNvPr id="5" name="图表 4"/>
        <xdr:cNvGraphicFramePr/>
      </xdr:nvGraphicFramePr>
      <xdr:xfrm>
        <a:off x="3533775" y="771525"/>
        <a:ext cx="4686300" cy="218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9525</xdr:rowOff>
    </xdr:from>
    <xdr:to>
      <xdr:col>11</xdr:col>
      <xdr:colOff>0</xdr:colOff>
      <xdr:row>32</xdr:row>
      <xdr:rowOff>9525</xdr:rowOff>
    </xdr:to>
    <xdr:graphicFrame>
      <xdr:nvGraphicFramePr>
        <xdr:cNvPr id="6" name="图表 5"/>
        <xdr:cNvGraphicFramePr/>
      </xdr:nvGraphicFramePr>
      <xdr:xfrm>
        <a:off x="3533775" y="4133850"/>
        <a:ext cx="4695825" cy="2200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4600575</xdr:colOff>
      <xdr:row>4</xdr:row>
      <xdr:rowOff>9525</xdr:rowOff>
    </xdr:from>
    <xdr:to>
      <xdr:col>18</xdr:col>
      <xdr:colOff>752475</xdr:colOff>
      <xdr:row>14</xdr:row>
      <xdr:rowOff>190500</xdr:rowOff>
    </xdr:to>
    <xdr:graphicFrame>
      <xdr:nvGraphicFramePr>
        <xdr:cNvPr id="2" name="图表 1"/>
        <xdr:cNvGraphicFramePr/>
      </xdr:nvGraphicFramePr>
      <xdr:xfrm>
        <a:off x="8991600" y="771525"/>
        <a:ext cx="4686300" cy="21812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21</xdr:row>
      <xdr:rowOff>9525</xdr:rowOff>
    </xdr:from>
    <xdr:to>
      <xdr:col>19</xdr:col>
      <xdr:colOff>0</xdr:colOff>
      <xdr:row>32</xdr:row>
      <xdr:rowOff>9525</xdr:rowOff>
    </xdr:to>
    <xdr:graphicFrame>
      <xdr:nvGraphicFramePr>
        <xdr:cNvPr id="3" name="图表 2"/>
        <xdr:cNvGraphicFramePr/>
      </xdr:nvGraphicFramePr>
      <xdr:xfrm>
        <a:off x="8991600" y="4133850"/>
        <a:ext cx="4695825" cy="22002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4600575</xdr:colOff>
      <xdr:row>4</xdr:row>
      <xdr:rowOff>9525</xdr:rowOff>
    </xdr:from>
    <xdr:to>
      <xdr:col>10</xdr:col>
      <xdr:colOff>752475</xdr:colOff>
      <xdr:row>14</xdr:row>
      <xdr:rowOff>190500</xdr:rowOff>
    </xdr:to>
    <xdr:graphicFrame>
      <xdr:nvGraphicFramePr>
        <xdr:cNvPr id="2" name="图表 1"/>
        <xdr:cNvGraphicFramePr/>
      </xdr:nvGraphicFramePr>
      <xdr:xfrm>
        <a:off x="3533775" y="771525"/>
        <a:ext cx="4686300" cy="218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9525</xdr:rowOff>
    </xdr:from>
    <xdr:to>
      <xdr:col>11</xdr:col>
      <xdr:colOff>0</xdr:colOff>
      <xdr:row>32</xdr:row>
      <xdr:rowOff>9525</xdr:rowOff>
    </xdr:to>
    <xdr:graphicFrame>
      <xdr:nvGraphicFramePr>
        <xdr:cNvPr id="3" name="图表 2"/>
        <xdr:cNvGraphicFramePr/>
      </xdr:nvGraphicFramePr>
      <xdr:xfrm>
        <a:off x="3533775" y="4133850"/>
        <a:ext cx="4695825" cy="2200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4600575</xdr:colOff>
      <xdr:row>4</xdr:row>
      <xdr:rowOff>9525</xdr:rowOff>
    </xdr:from>
    <xdr:to>
      <xdr:col>18</xdr:col>
      <xdr:colOff>752475</xdr:colOff>
      <xdr:row>14</xdr:row>
      <xdr:rowOff>190500</xdr:rowOff>
    </xdr:to>
    <xdr:graphicFrame>
      <xdr:nvGraphicFramePr>
        <xdr:cNvPr id="4" name="图表 3"/>
        <xdr:cNvGraphicFramePr/>
      </xdr:nvGraphicFramePr>
      <xdr:xfrm>
        <a:off x="8991600" y="771525"/>
        <a:ext cx="4686300" cy="21812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21</xdr:row>
      <xdr:rowOff>9525</xdr:rowOff>
    </xdr:from>
    <xdr:to>
      <xdr:col>19</xdr:col>
      <xdr:colOff>0</xdr:colOff>
      <xdr:row>32</xdr:row>
      <xdr:rowOff>9525</xdr:rowOff>
    </xdr:to>
    <xdr:graphicFrame>
      <xdr:nvGraphicFramePr>
        <xdr:cNvPr id="5" name="图表 4"/>
        <xdr:cNvGraphicFramePr/>
      </xdr:nvGraphicFramePr>
      <xdr:xfrm>
        <a:off x="8991600" y="4133850"/>
        <a:ext cx="4695825" cy="22002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4</xdr:row>
      <xdr:rowOff>9525</xdr:rowOff>
    </xdr:from>
    <xdr:to>
      <xdr:col>13</xdr:col>
      <xdr:colOff>0</xdr:colOff>
      <xdr:row>15</xdr:row>
      <xdr:rowOff>158115</xdr:rowOff>
    </xdr:to>
    <xdr:graphicFrame>
      <xdr:nvGraphicFramePr>
        <xdr:cNvPr id="4" name="图表 3"/>
        <xdr:cNvGraphicFramePr/>
      </xdr:nvGraphicFramePr>
      <xdr:xfrm>
        <a:off x="7905750" y="695325"/>
        <a:ext cx="4705350" cy="21393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0</xdr:rowOff>
    </xdr:from>
    <xdr:to>
      <xdr:col>12</xdr:col>
      <xdr:colOff>739140</xdr:colOff>
      <xdr:row>31</xdr:row>
      <xdr:rowOff>145415</xdr:rowOff>
    </xdr:to>
    <xdr:graphicFrame>
      <xdr:nvGraphicFramePr>
        <xdr:cNvPr id="6" name="图表 5"/>
        <xdr:cNvGraphicFramePr/>
      </xdr:nvGraphicFramePr>
      <xdr:xfrm>
        <a:off x="7905750" y="3724275"/>
        <a:ext cx="4682490" cy="19646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171450</xdr:rowOff>
    </xdr:from>
    <xdr:to>
      <xdr:col>12</xdr:col>
      <xdr:colOff>0</xdr:colOff>
      <xdr:row>13</xdr:row>
      <xdr:rowOff>40005</xdr:rowOff>
    </xdr:to>
    <xdr:graphicFrame>
      <xdr:nvGraphicFramePr>
        <xdr:cNvPr id="5" name="图表 4"/>
        <xdr:cNvGraphicFramePr/>
      </xdr:nvGraphicFramePr>
      <xdr:xfrm>
        <a:off x="6457950" y="314325"/>
        <a:ext cx="4591050" cy="2247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6350</xdr:rowOff>
    </xdr:from>
    <xdr:to>
      <xdr:col>12</xdr:col>
      <xdr:colOff>0</xdr:colOff>
      <xdr:row>33</xdr:row>
      <xdr:rowOff>43815</xdr:rowOff>
    </xdr:to>
    <xdr:graphicFrame>
      <xdr:nvGraphicFramePr>
        <xdr:cNvPr id="6" name="图表 5"/>
        <xdr:cNvGraphicFramePr/>
      </xdr:nvGraphicFramePr>
      <xdr:xfrm>
        <a:off x="6457950" y="4252595"/>
        <a:ext cx="4591050" cy="22377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5</xdr:col>
      <xdr:colOff>9525</xdr:colOff>
      <xdr:row>4</xdr:row>
      <xdr:rowOff>0</xdr:rowOff>
    </xdr:from>
    <xdr:to>
      <xdr:col>12</xdr:col>
      <xdr:colOff>0</xdr:colOff>
      <xdr:row>15</xdr:row>
      <xdr:rowOff>56515</xdr:rowOff>
    </xdr:to>
    <xdr:graphicFrame>
      <xdr:nvGraphicFramePr>
        <xdr:cNvPr id="4" name="图表 3"/>
        <xdr:cNvGraphicFramePr/>
      </xdr:nvGraphicFramePr>
      <xdr:xfrm>
        <a:off x="7296150" y="723900"/>
        <a:ext cx="4695825" cy="2256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4111625</xdr:colOff>
      <xdr:row>21</xdr:row>
      <xdr:rowOff>9525</xdr:rowOff>
    </xdr:from>
    <xdr:to>
      <xdr:col>12</xdr:col>
      <xdr:colOff>3175</xdr:colOff>
      <xdr:row>32</xdr:row>
      <xdr:rowOff>149225</xdr:rowOff>
    </xdr:to>
    <xdr:graphicFrame>
      <xdr:nvGraphicFramePr>
        <xdr:cNvPr id="5" name="图表 4"/>
        <xdr:cNvGraphicFramePr/>
      </xdr:nvGraphicFramePr>
      <xdr:xfrm>
        <a:off x="7283450" y="4057650"/>
        <a:ext cx="4711700" cy="23399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4</xdr:row>
      <xdr:rowOff>0</xdr:rowOff>
    </xdr:from>
    <xdr:to>
      <xdr:col>11</xdr:col>
      <xdr:colOff>749935</xdr:colOff>
      <xdr:row>14</xdr:row>
      <xdr:rowOff>154305</xdr:rowOff>
    </xdr:to>
    <xdr:graphicFrame>
      <xdr:nvGraphicFramePr>
        <xdr:cNvPr id="4" name="图表 3"/>
        <xdr:cNvGraphicFramePr/>
      </xdr:nvGraphicFramePr>
      <xdr:xfrm>
        <a:off x="7334250" y="723900"/>
        <a:ext cx="4693285" cy="21545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4159250</xdr:colOff>
      <xdr:row>27</xdr:row>
      <xdr:rowOff>6350</xdr:rowOff>
    </xdr:from>
    <xdr:to>
      <xdr:col>11</xdr:col>
      <xdr:colOff>758825</xdr:colOff>
      <xdr:row>37</xdr:row>
      <xdr:rowOff>98425</xdr:rowOff>
    </xdr:to>
    <xdr:graphicFrame>
      <xdr:nvGraphicFramePr>
        <xdr:cNvPr id="5" name="图表 4"/>
        <xdr:cNvGraphicFramePr/>
      </xdr:nvGraphicFramePr>
      <xdr:xfrm>
        <a:off x="7331075" y="5254625"/>
        <a:ext cx="4705350" cy="20923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5</xdr:row>
      <xdr:rowOff>9525</xdr:rowOff>
    </xdr:from>
    <xdr:to>
      <xdr:col>13</xdr:col>
      <xdr:colOff>0</xdr:colOff>
      <xdr:row>17</xdr:row>
      <xdr:rowOff>55245</xdr:rowOff>
    </xdr:to>
    <xdr:graphicFrame>
      <xdr:nvGraphicFramePr>
        <xdr:cNvPr id="4" name="图表 3"/>
        <xdr:cNvGraphicFramePr/>
      </xdr:nvGraphicFramePr>
      <xdr:xfrm>
        <a:off x="7829550" y="933450"/>
        <a:ext cx="4705350" cy="24460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24</xdr:row>
      <xdr:rowOff>9525</xdr:rowOff>
    </xdr:from>
    <xdr:to>
      <xdr:col>12</xdr:col>
      <xdr:colOff>752475</xdr:colOff>
      <xdr:row>35</xdr:row>
      <xdr:rowOff>9525</xdr:rowOff>
    </xdr:to>
    <xdr:graphicFrame>
      <xdr:nvGraphicFramePr>
        <xdr:cNvPr id="5" name="图表 4"/>
        <xdr:cNvGraphicFramePr/>
      </xdr:nvGraphicFramePr>
      <xdr:xfrm>
        <a:off x="7829550" y="4657725"/>
        <a:ext cx="4695825" cy="22193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5</xdr:col>
      <xdr:colOff>9039</xdr:colOff>
      <xdr:row>3</xdr:row>
      <xdr:rowOff>0</xdr:rowOff>
    </xdr:from>
    <xdr:to>
      <xdr:col>12</xdr:col>
      <xdr:colOff>6795</xdr:colOff>
      <xdr:row>14</xdr:row>
      <xdr:rowOff>0</xdr:rowOff>
    </xdr:to>
    <xdr:graphicFrame>
      <xdr:nvGraphicFramePr>
        <xdr:cNvPr id="2" name="图表 1"/>
        <xdr:cNvGraphicFramePr/>
      </xdr:nvGraphicFramePr>
      <xdr:xfrm>
        <a:off x="6952615" y="523875"/>
        <a:ext cx="4702810" cy="22002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0</xdr:rowOff>
    </xdr:from>
    <xdr:to>
      <xdr:col>12</xdr:col>
      <xdr:colOff>0</xdr:colOff>
      <xdr:row>32</xdr:row>
      <xdr:rowOff>0</xdr:rowOff>
    </xdr:to>
    <xdr:graphicFrame>
      <xdr:nvGraphicFramePr>
        <xdr:cNvPr id="3" name="图表 2"/>
        <xdr:cNvGraphicFramePr/>
      </xdr:nvGraphicFramePr>
      <xdr:xfrm>
        <a:off x="6943725" y="4048125"/>
        <a:ext cx="4705350" cy="2200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5</xdr:col>
      <xdr:colOff>2675890</xdr:colOff>
      <xdr:row>3</xdr:row>
      <xdr:rowOff>116840</xdr:rowOff>
    </xdr:from>
    <xdr:to>
      <xdr:col>12</xdr:col>
      <xdr:colOff>759121</xdr:colOff>
      <xdr:row>14</xdr:row>
      <xdr:rowOff>116877</xdr:rowOff>
    </xdr:to>
    <xdr:graphicFrame>
      <xdr:nvGraphicFramePr>
        <xdr:cNvPr id="3" name="图表 2"/>
        <xdr:cNvGraphicFramePr/>
      </xdr:nvGraphicFramePr>
      <xdr:xfrm>
        <a:off x="6609715" y="659765"/>
        <a:ext cx="4702810" cy="218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0</xdr:rowOff>
    </xdr:from>
    <xdr:to>
      <xdr:col>13</xdr:col>
      <xdr:colOff>6795</xdr:colOff>
      <xdr:row>37</xdr:row>
      <xdr:rowOff>139079</xdr:rowOff>
    </xdr:to>
    <xdr:graphicFrame>
      <xdr:nvGraphicFramePr>
        <xdr:cNvPr id="4" name="图表 3"/>
        <xdr:cNvGraphicFramePr/>
      </xdr:nvGraphicFramePr>
      <xdr:xfrm>
        <a:off x="6610350" y="5048250"/>
        <a:ext cx="4711700" cy="23393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5</xdr:col>
      <xdr:colOff>2809875</xdr:colOff>
      <xdr:row>3</xdr:row>
      <xdr:rowOff>171450</xdr:rowOff>
    </xdr:from>
    <xdr:to>
      <xdr:col>12</xdr:col>
      <xdr:colOff>752475</xdr:colOff>
      <xdr:row>15</xdr:row>
      <xdr:rowOff>190500</xdr:rowOff>
    </xdr:to>
    <xdr:graphicFrame>
      <xdr:nvGraphicFramePr>
        <xdr:cNvPr id="3" name="图表 2"/>
        <xdr:cNvGraphicFramePr/>
      </xdr:nvGraphicFramePr>
      <xdr:xfrm>
        <a:off x="6743700" y="752475"/>
        <a:ext cx="4705350" cy="24003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9039</xdr:colOff>
      <xdr:row>27</xdr:row>
      <xdr:rowOff>0</xdr:rowOff>
    </xdr:from>
    <xdr:to>
      <xdr:col>13</xdr:col>
      <xdr:colOff>6795</xdr:colOff>
      <xdr:row>39</xdr:row>
      <xdr:rowOff>0</xdr:rowOff>
    </xdr:to>
    <xdr:graphicFrame>
      <xdr:nvGraphicFramePr>
        <xdr:cNvPr id="4" name="图表 3"/>
        <xdr:cNvGraphicFramePr/>
      </xdr:nvGraphicFramePr>
      <xdr:xfrm>
        <a:off x="6762115" y="5286375"/>
        <a:ext cx="470281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ome/user/Desktop/work/&#32479;&#35745;&#26376;&#25253;/2023&#24180;//home/user/Desktop/work/&#32479;&#35745;&#26376;&#25253;/2022&#24180;/home/user/Desktop/work/&#32479;&#35745;&#26376;&#25253;/2022&#24180;/home/user/Desktop/work/&#32479;&#35745;&#26376;&#25253;/2022&#24180;/2021&#24180;9&#26376;&#25968;&#25454;/202109/&#20840;&#22269;&#30465;&#24066;&#20154;&#27665;&#24065;&#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进出口商品收发货人所在地总值表"/>
      <sheetName val="Sheet2"/>
      <sheetName val="Sheet3"/>
    </sheetNames>
    <sheetDataSet>
      <sheetData sheetId="0" refreshError="1"/>
      <sheetData sheetId="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5"/>
  <sheetViews>
    <sheetView workbookViewId="0">
      <selection activeCell="A4" sqref="A4:E4"/>
    </sheetView>
  </sheetViews>
  <sheetFormatPr defaultColWidth="9" defaultRowHeight="15.75"/>
  <cols>
    <col min="1" max="1" width="46.125" style="344" customWidth="1"/>
    <col min="2" max="2" width="4.375" style="345" customWidth="1"/>
    <col min="3" max="4" width="5.875" style="345" customWidth="1"/>
    <col min="5" max="5" width="1.125" style="345" customWidth="1"/>
    <col min="6" max="6" width="3.875" style="344" customWidth="1"/>
  </cols>
  <sheetData>
    <row r="1" ht="26.25" customHeight="1" spans="1:5">
      <c r="A1" s="346"/>
      <c r="B1" s="346"/>
      <c r="C1" s="346"/>
      <c r="D1" s="346"/>
      <c r="E1" s="346"/>
    </row>
    <row r="2" spans="1:5">
      <c r="A2" s="347" t="s">
        <v>0</v>
      </c>
      <c r="B2" s="347"/>
      <c r="C2" s="347"/>
      <c r="D2" s="347"/>
      <c r="E2" s="347"/>
    </row>
    <row r="3" ht="40.5" customHeight="1" spans="1:11">
      <c r="A3" s="348" t="s">
        <v>1</v>
      </c>
      <c r="B3" s="348"/>
      <c r="C3" s="348"/>
      <c r="D3" s="348"/>
      <c r="E3" s="348"/>
      <c r="K3" s="1"/>
    </row>
    <row r="4" ht="19.5" customHeight="1" spans="1:6">
      <c r="A4" s="349" t="s">
        <v>2</v>
      </c>
      <c r="B4" s="349"/>
      <c r="C4" s="349"/>
      <c r="D4" s="349"/>
      <c r="E4" s="349"/>
      <c r="F4" s="356"/>
    </row>
    <row r="5" ht="15" customHeight="1" spans="1:6">
      <c r="A5" s="350" t="s">
        <v>3</v>
      </c>
      <c r="B5" s="350"/>
      <c r="C5" s="350"/>
      <c r="D5" s="350"/>
      <c r="E5" s="350"/>
      <c r="F5" s="356"/>
    </row>
    <row r="6" ht="15" customHeight="1" spans="1:11">
      <c r="A6" s="351" t="s">
        <v>4</v>
      </c>
      <c r="B6" s="352"/>
      <c r="C6" s="352"/>
      <c r="D6" s="352"/>
      <c r="E6" s="352"/>
      <c r="F6" s="356"/>
      <c r="G6" s="357" t="s">
        <v>5</v>
      </c>
      <c r="H6" s="357"/>
      <c r="I6" s="357"/>
      <c r="J6" s="357"/>
      <c r="K6" s="357"/>
    </row>
    <row r="7" ht="15" customHeight="1" spans="1:11">
      <c r="A7" s="353" t="s">
        <v>6</v>
      </c>
      <c r="B7" s="354"/>
      <c r="C7" s="354"/>
      <c r="D7" s="354"/>
      <c r="E7" s="354"/>
      <c r="F7" s="356"/>
      <c r="G7" s="358" t="s">
        <v>7</v>
      </c>
      <c r="H7" s="359"/>
      <c r="I7" s="359"/>
      <c r="J7" s="359"/>
      <c r="K7" s="359"/>
    </row>
    <row r="8" ht="15" customHeight="1" spans="1:11">
      <c r="A8" s="353" t="s">
        <v>8</v>
      </c>
      <c r="B8" s="354"/>
      <c r="C8" s="354"/>
      <c r="D8" s="354"/>
      <c r="E8" s="354"/>
      <c r="F8" s="360"/>
      <c r="G8" s="358" t="s">
        <v>9</v>
      </c>
      <c r="H8" s="359"/>
      <c r="I8" s="359"/>
      <c r="J8" s="359"/>
      <c r="K8" s="359"/>
    </row>
    <row r="9" ht="15" customHeight="1" spans="1:11">
      <c r="A9" s="353" t="s">
        <v>10</v>
      </c>
      <c r="B9" s="353"/>
      <c r="C9" s="353"/>
      <c r="D9" s="353"/>
      <c r="E9" s="353"/>
      <c r="F9" s="360"/>
      <c r="G9" s="359" t="s">
        <v>11</v>
      </c>
      <c r="H9" s="359"/>
      <c r="I9" s="359"/>
      <c r="J9" s="359"/>
      <c r="K9" s="359"/>
    </row>
    <row r="10" ht="15" customHeight="1" spans="1:11">
      <c r="A10" s="353" t="s">
        <v>12</v>
      </c>
      <c r="B10" s="353"/>
      <c r="C10" s="353"/>
      <c r="D10" s="353"/>
      <c r="E10" s="353"/>
      <c r="F10" s="360"/>
      <c r="G10" s="359" t="s">
        <v>13</v>
      </c>
      <c r="H10" s="361"/>
      <c r="I10" s="361"/>
      <c r="J10" s="361"/>
      <c r="K10" s="361"/>
    </row>
    <row r="11" ht="15" customHeight="1" spans="1:11">
      <c r="A11" s="353" t="s">
        <v>14</v>
      </c>
      <c r="B11" s="353"/>
      <c r="C11" s="353"/>
      <c r="D11" s="353"/>
      <c r="E11" s="353"/>
      <c r="F11" s="360"/>
      <c r="G11" s="359" t="s">
        <v>15</v>
      </c>
      <c r="H11" s="361"/>
      <c r="I11" s="361"/>
      <c r="J11" s="361"/>
      <c r="K11" s="361"/>
    </row>
    <row r="12" ht="15" customHeight="1" spans="1:11">
      <c r="A12" s="353" t="s">
        <v>16</v>
      </c>
      <c r="B12" s="354"/>
      <c r="C12" s="354"/>
      <c r="D12" s="354"/>
      <c r="E12" s="354"/>
      <c r="F12" s="360"/>
      <c r="G12" s="359" t="s">
        <v>17</v>
      </c>
      <c r="H12" s="361"/>
      <c r="I12" s="361"/>
      <c r="J12" s="361"/>
      <c r="K12" s="361"/>
    </row>
    <row r="13" ht="15" customHeight="1" spans="1:11">
      <c r="A13" s="353" t="s">
        <v>18</v>
      </c>
      <c r="B13" s="354"/>
      <c r="C13" s="354"/>
      <c r="D13" s="354"/>
      <c r="E13" s="354"/>
      <c r="F13" s="360"/>
      <c r="G13" s="359" t="s">
        <v>19</v>
      </c>
      <c r="H13" s="361"/>
      <c r="I13" s="361"/>
      <c r="J13" s="361"/>
      <c r="K13" s="361"/>
    </row>
    <row r="14" ht="15" customHeight="1" spans="1:11">
      <c r="A14" s="353" t="s">
        <v>20</v>
      </c>
      <c r="B14" s="354"/>
      <c r="C14" s="354"/>
      <c r="D14" s="354"/>
      <c r="E14" s="354"/>
      <c r="F14" s="360"/>
      <c r="G14" s="359" t="s">
        <v>21</v>
      </c>
      <c r="H14" s="361"/>
      <c r="I14" s="361"/>
      <c r="J14" s="361"/>
      <c r="K14" s="361"/>
    </row>
    <row r="15" ht="15" customHeight="1" spans="1:11">
      <c r="A15" s="353" t="s">
        <v>22</v>
      </c>
      <c r="B15" s="354"/>
      <c r="C15" s="354"/>
      <c r="D15" s="354"/>
      <c r="E15" s="354"/>
      <c r="F15" s="360"/>
      <c r="G15" s="359" t="s">
        <v>23</v>
      </c>
      <c r="H15" s="354"/>
      <c r="I15" s="354"/>
      <c r="J15" s="354"/>
      <c r="K15" s="354"/>
    </row>
    <row r="16" ht="15" customHeight="1" spans="1:15">
      <c r="A16" s="353" t="s">
        <v>24</v>
      </c>
      <c r="B16" s="354"/>
      <c r="C16" s="354"/>
      <c r="D16" s="354"/>
      <c r="E16" s="354"/>
      <c r="F16" s="360"/>
      <c r="G16" s="354" t="s">
        <v>25</v>
      </c>
      <c r="H16" s="354"/>
      <c r="I16" s="354"/>
      <c r="J16" s="354"/>
      <c r="K16" s="354"/>
      <c r="L16" s="1"/>
      <c r="M16" s="1"/>
      <c r="N16" s="1"/>
      <c r="O16" s="1"/>
    </row>
    <row r="17" s="1" customFormat="1" ht="15" customHeight="1" spans="1:15">
      <c r="A17" s="353" t="s">
        <v>26</v>
      </c>
      <c r="B17" s="354"/>
      <c r="C17" s="354"/>
      <c r="D17" s="354"/>
      <c r="E17" s="354"/>
      <c r="F17" s="360"/>
      <c r="G17" s="354" t="s">
        <v>27</v>
      </c>
      <c r="H17" s="354"/>
      <c r="I17" s="354"/>
      <c r="J17" s="354"/>
      <c r="K17" s="354"/>
      <c r="L17"/>
      <c r="M17"/>
      <c r="N17"/>
      <c r="O17"/>
    </row>
    <row r="18" ht="15" customHeight="1" spans="1:11">
      <c r="A18" s="353" t="s">
        <v>28</v>
      </c>
      <c r="B18" s="354"/>
      <c r="C18" s="354"/>
      <c r="D18" s="354"/>
      <c r="E18" s="354"/>
      <c r="F18" s="360"/>
      <c r="G18" s="362" t="s">
        <v>29</v>
      </c>
      <c r="H18" s="354"/>
      <c r="I18" s="354"/>
      <c r="J18" s="354"/>
      <c r="K18" s="354"/>
    </row>
    <row r="19" ht="15" customHeight="1" spans="1:11">
      <c r="A19" s="353" t="s">
        <v>30</v>
      </c>
      <c r="B19" s="354"/>
      <c r="C19" s="354"/>
      <c r="D19" s="354"/>
      <c r="E19" s="354"/>
      <c r="F19" s="360"/>
      <c r="G19" s="363" t="s">
        <v>31</v>
      </c>
      <c r="H19" s="354"/>
      <c r="I19" s="354"/>
      <c r="J19" s="354"/>
      <c r="K19" s="354"/>
    </row>
    <row r="20" ht="15" customHeight="1" spans="1:11">
      <c r="A20" s="353" t="s">
        <v>32</v>
      </c>
      <c r="B20" s="354"/>
      <c r="C20" s="354"/>
      <c r="D20" s="354"/>
      <c r="E20" s="354"/>
      <c r="F20" s="360"/>
      <c r="G20" s="362" t="s">
        <v>33</v>
      </c>
      <c r="H20" s="51"/>
      <c r="I20" s="354"/>
      <c r="J20" s="354"/>
      <c r="K20" s="354"/>
    </row>
    <row r="21" ht="15" customHeight="1" spans="1:11">
      <c r="A21" s="353" t="s">
        <v>34</v>
      </c>
      <c r="B21" s="354"/>
      <c r="C21" s="354"/>
      <c r="D21" s="354"/>
      <c r="E21" s="354"/>
      <c r="F21" s="360"/>
      <c r="G21" s="364" t="s">
        <v>35</v>
      </c>
      <c r="H21" s="365"/>
      <c r="I21" s="364"/>
      <c r="J21" s="367"/>
      <c r="K21" s="367"/>
    </row>
    <row r="22" ht="15" customHeight="1" spans="1:11">
      <c r="A22" s="353" t="s">
        <v>36</v>
      </c>
      <c r="B22" s="354"/>
      <c r="C22" s="354"/>
      <c r="D22" s="354"/>
      <c r="E22" s="354"/>
      <c r="F22" s="360"/>
      <c r="G22" s="364" t="s">
        <v>37</v>
      </c>
      <c r="H22" s="364"/>
      <c r="I22" s="364"/>
      <c r="J22" s="367"/>
      <c r="K22" s="367"/>
    </row>
    <row r="23" ht="15" customHeight="1" spans="1:9">
      <c r="A23" s="353" t="s">
        <v>38</v>
      </c>
      <c r="B23" s="354"/>
      <c r="C23" s="354"/>
      <c r="D23" s="354"/>
      <c r="E23" s="354"/>
      <c r="F23" s="360"/>
      <c r="G23" s="51"/>
      <c r="H23" s="366"/>
      <c r="I23" s="51"/>
    </row>
    <row r="24" ht="15" customHeight="1" spans="1:9">
      <c r="A24" s="353" t="s">
        <v>39</v>
      </c>
      <c r="B24" s="354"/>
      <c r="C24" s="354"/>
      <c r="D24" s="354"/>
      <c r="E24" s="354"/>
      <c r="F24" s="360"/>
      <c r="G24" s="51"/>
      <c r="H24" s="51"/>
      <c r="I24" s="51"/>
    </row>
    <row r="25" ht="15" customHeight="1" spans="1:9">
      <c r="A25" s="353" t="s">
        <v>40</v>
      </c>
      <c r="B25" s="354"/>
      <c r="C25" s="354"/>
      <c r="D25" s="354"/>
      <c r="E25" s="354"/>
      <c r="F25" s="360"/>
      <c r="G25" s="51"/>
      <c r="H25" s="51"/>
      <c r="I25" s="51"/>
    </row>
    <row r="26" ht="15" customHeight="1" spans="1:9">
      <c r="A26" s="353" t="s">
        <v>41</v>
      </c>
      <c r="B26" s="354"/>
      <c r="C26" s="354"/>
      <c r="D26" s="354"/>
      <c r="E26" s="354"/>
      <c r="F26" s="360"/>
      <c r="G26" s="51"/>
      <c r="H26" s="51"/>
      <c r="I26" s="51"/>
    </row>
    <row r="27" ht="15" customHeight="1" spans="1:9">
      <c r="A27" s="353" t="s">
        <v>42</v>
      </c>
      <c r="B27" s="354"/>
      <c r="C27" s="354"/>
      <c r="D27" s="354"/>
      <c r="E27" s="354"/>
      <c r="F27" s="360"/>
      <c r="G27" s="51"/>
      <c r="H27" s="51"/>
      <c r="I27" s="51"/>
    </row>
    <row r="28" ht="15" customHeight="1" spans="1:9">
      <c r="A28" s="353" t="s">
        <v>43</v>
      </c>
      <c r="B28" s="354"/>
      <c r="C28" s="354"/>
      <c r="D28" s="354"/>
      <c r="E28" s="354"/>
      <c r="F28" s="360"/>
      <c r="G28" s="51"/>
      <c r="H28" s="51"/>
      <c r="I28" s="51"/>
    </row>
    <row r="29" ht="15" customHeight="1" spans="1:6">
      <c r="A29" s="353" t="s">
        <v>44</v>
      </c>
      <c r="B29" s="354"/>
      <c r="C29" s="354"/>
      <c r="D29" s="354"/>
      <c r="E29" s="354"/>
      <c r="F29" s="356"/>
    </row>
    <row r="30" ht="15" customHeight="1" spans="1:6">
      <c r="A30" s="353" t="s">
        <v>45</v>
      </c>
      <c r="B30" s="354"/>
      <c r="C30" s="354"/>
      <c r="D30" s="354"/>
      <c r="E30" s="354"/>
      <c r="F30" s="356"/>
    </row>
    <row r="31" ht="15" customHeight="1" spans="1:6">
      <c r="A31" s="353" t="s">
        <v>46</v>
      </c>
      <c r="B31" s="354"/>
      <c r="C31" s="354"/>
      <c r="D31" s="354"/>
      <c r="E31" s="354"/>
      <c r="F31" s="356"/>
    </row>
    <row r="32" ht="15" customHeight="1" spans="1:6">
      <c r="A32" s="353" t="s">
        <v>47</v>
      </c>
      <c r="B32" s="354"/>
      <c r="C32" s="354"/>
      <c r="D32" s="354"/>
      <c r="E32" s="354"/>
      <c r="F32" s="356"/>
    </row>
    <row r="33" ht="15" customHeight="1" spans="1:6">
      <c r="A33" s="353" t="s">
        <v>48</v>
      </c>
      <c r="B33" s="354"/>
      <c r="C33" s="354"/>
      <c r="D33" s="354"/>
      <c r="E33" s="354"/>
      <c r="F33" s="356"/>
    </row>
    <row r="34" ht="15" customHeight="1" spans="1:6">
      <c r="A34" s="353" t="s">
        <v>49</v>
      </c>
      <c r="B34" s="354"/>
      <c r="C34" s="354"/>
      <c r="D34" s="354"/>
      <c r="E34" s="354"/>
      <c r="F34" s="356"/>
    </row>
    <row r="35" ht="15" customHeight="1" spans="1:6">
      <c r="A35" s="353" t="s">
        <v>50</v>
      </c>
      <c r="B35" s="354"/>
      <c r="C35" s="354"/>
      <c r="D35" s="354"/>
      <c r="E35" s="354"/>
      <c r="F35" s="356"/>
    </row>
    <row r="36" ht="15" customHeight="1" spans="1:6">
      <c r="A36" s="353" t="s">
        <v>51</v>
      </c>
      <c r="B36" s="354"/>
      <c r="C36" s="354"/>
      <c r="D36" s="354"/>
      <c r="E36" s="354"/>
      <c r="F36" s="356"/>
    </row>
    <row r="37" ht="15" customHeight="1" spans="1:6">
      <c r="A37" s="353" t="s">
        <v>52</v>
      </c>
      <c r="B37" s="354"/>
      <c r="C37" s="354"/>
      <c r="D37" s="354"/>
      <c r="E37" s="354"/>
      <c r="F37" s="356"/>
    </row>
    <row r="38" ht="15" customHeight="1" spans="1:6">
      <c r="A38" s="353" t="s">
        <v>53</v>
      </c>
      <c r="B38" s="355"/>
      <c r="C38" s="355"/>
      <c r="D38" s="355"/>
      <c r="E38" s="355"/>
      <c r="F38" s="356"/>
    </row>
    <row r="39" ht="15" customHeight="1" spans="1:6">
      <c r="A39" s="353" t="s">
        <v>54</v>
      </c>
      <c r="B39" s="355"/>
      <c r="C39" s="355"/>
      <c r="D39" s="355"/>
      <c r="E39" s="355"/>
      <c r="F39" s="356"/>
    </row>
    <row r="40" ht="15" customHeight="1" spans="1:6">
      <c r="A40" s="353" t="s">
        <v>55</v>
      </c>
      <c r="F40" s="356"/>
    </row>
    <row r="41" spans="1:1">
      <c r="A41" s="353" t="s">
        <v>56</v>
      </c>
    </row>
    <row r="42" spans="1:1">
      <c r="A42" s="353" t="s">
        <v>57</v>
      </c>
    </row>
    <row r="43" spans="1:1">
      <c r="A43" s="353" t="s">
        <v>58</v>
      </c>
    </row>
    <row r="44" spans="1:1">
      <c r="A44" s="353" t="s">
        <v>59</v>
      </c>
    </row>
    <row r="45" spans="1:1">
      <c r="A45" s="353" t="s">
        <v>60</v>
      </c>
    </row>
  </sheetData>
  <mergeCells count="7">
    <mergeCell ref="A1:E1"/>
    <mergeCell ref="A2:E2"/>
    <mergeCell ref="A3:E3"/>
    <mergeCell ref="A4:E4"/>
    <mergeCell ref="A5:E5"/>
    <mergeCell ref="A6:E6"/>
    <mergeCell ref="G6:K6"/>
  </mergeCells>
  <pageMargins left="0.7" right="0.7" top="0.75" bottom="0.75" header="0.3" footer="0.3"/>
  <pageSetup paperSize="9" fitToWidth="0"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44"/>
  <sheetViews>
    <sheetView tabSelected="1" zoomScale="149" zoomScaleNormal="149" workbookViewId="0">
      <selection activeCell="E18" sqref="E18"/>
    </sheetView>
  </sheetViews>
  <sheetFormatPr defaultColWidth="9" defaultRowHeight="15.75"/>
  <cols>
    <col min="1" max="1" width="3.75" style="72" customWidth="1"/>
    <col min="2" max="2" width="36.575" style="73" customWidth="1"/>
    <col min="3" max="3" width="12.825" style="74" customWidth="1"/>
    <col min="4" max="4" width="13.5" style="74" customWidth="1"/>
    <col min="5" max="5" width="12.275" style="74" customWidth="1"/>
    <col min="6" max="6" width="8.5" style="75" customWidth="1"/>
    <col min="7" max="7" width="35.6666666666667" style="74" customWidth="1"/>
    <col min="8" max="8" width="15" style="74" customWidth="1"/>
    <col min="9" max="9" width="11.625" style="74" customWidth="1"/>
    <col min="10" max="10" width="10.875" style="74" customWidth="1"/>
    <col min="11" max="11" width="8.375" style="74" customWidth="1"/>
    <col min="12" max="12" width="38.625" style="74" customWidth="1"/>
    <col min="13" max="13" width="13.125" style="74" customWidth="1"/>
    <col min="14" max="14" width="9.5" style="74" customWidth="1"/>
    <col min="15" max="15" width="11.75" style="74" customWidth="1"/>
    <col min="16" max="16" width="7.75" style="74" customWidth="1"/>
    <col min="17" max="17" width="36.125" style="74" customWidth="1"/>
    <col min="18" max="18" width="14.125" style="74" customWidth="1"/>
    <col min="19" max="19" width="13.125" style="74" customWidth="1"/>
    <col min="20" max="20" width="9.66666666666667" style="74" customWidth="1"/>
    <col min="21" max="21" width="25.5" style="73" customWidth="1"/>
    <col min="22" max="22" width="15.75" style="73" customWidth="1"/>
    <col min="23" max="23" width="16.375" style="73" customWidth="1"/>
    <col min="24" max="24" width="12.75" style="73" customWidth="1"/>
    <col min="25" max="25" width="8.5" style="73" customWidth="1"/>
    <col min="26" max="26" width="36.875" style="73" customWidth="1"/>
    <col min="27" max="27" width="11.125" style="73" customWidth="1"/>
    <col min="28" max="28" width="13.375" style="73" customWidth="1"/>
    <col min="29" max="29" width="9.5" style="73" customWidth="1"/>
    <col min="30" max="30" width="8.25" style="73" customWidth="1"/>
    <col min="31" max="31" width="34.5" style="73" customWidth="1"/>
    <col min="32" max="32" width="13.75" style="73" customWidth="1"/>
    <col min="33" max="33" width="13.375" style="73" customWidth="1"/>
    <col min="34" max="34" width="8.25" style="73" customWidth="1"/>
    <col min="35" max="35" width="35" style="73" customWidth="1"/>
    <col min="36" max="36" width="19.125" style="76" customWidth="1"/>
    <col min="37" max="37" width="13.875" style="76" customWidth="1"/>
    <col min="38" max="38" width="12.125" style="77" customWidth="1"/>
    <col min="39" max="39" width="28.9916666666667" style="77" customWidth="1"/>
    <col min="40" max="40" width="14.25" style="77" customWidth="1"/>
    <col min="41" max="41" width="12" style="77" customWidth="1"/>
    <col min="42" max="42" width="9.375" style="77" customWidth="1"/>
    <col min="43" max="43" width="31.25" style="73" customWidth="1"/>
    <col min="44" max="44" width="12.5" style="73" customWidth="1"/>
    <col min="45" max="45" width="11.125" style="73" customWidth="1"/>
    <col min="46" max="46" width="12" style="73" customWidth="1"/>
    <col min="47" max="47" width="11.625" style="73" customWidth="1"/>
    <col min="48" max="48" width="8.75" style="73" customWidth="1"/>
    <col min="49" max="49" width="28.625" style="73" customWidth="1"/>
    <col min="50" max="50" width="18.75" style="73" customWidth="1"/>
    <col min="51" max="51" width="14.5" style="73" customWidth="1"/>
    <col min="52" max="52" width="14.875" style="77" customWidth="1"/>
    <col min="53" max="53" width="25.5" style="73" customWidth="1"/>
    <col min="54" max="54" width="14" style="73" customWidth="1"/>
    <col min="55" max="55" width="15.25" style="73" customWidth="1"/>
    <col min="56" max="57" width="11.125" style="73" customWidth="1"/>
    <col min="58" max="58" width="40.9333333333333" style="73" customWidth="1"/>
    <col min="59" max="59" width="14.4166666666667" style="73" customWidth="1"/>
    <col min="60" max="60" width="14.0833333333333" style="73" customWidth="1"/>
    <col min="61" max="61" width="12.5" style="73" customWidth="1"/>
    <col min="62" max="62" width="22.375" style="73" customWidth="1"/>
    <col min="63" max="63" width="13.25" style="73" customWidth="1"/>
    <col min="64" max="64" width="14" style="73" customWidth="1"/>
    <col min="65" max="65" width="13.125" style="73" customWidth="1"/>
    <col min="66" max="66" width="9" style="73"/>
    <col min="67" max="67" width="23" style="73" customWidth="1"/>
    <col min="68" max="68" width="20.875" style="73" customWidth="1"/>
    <col min="69" max="69" width="12.625" style="73" customWidth="1"/>
    <col min="70" max="70" width="14" style="77" customWidth="1"/>
    <col min="71" max="71" width="19" style="73" customWidth="1"/>
    <col min="72" max="72" width="19.5" style="73" customWidth="1"/>
    <col min="73" max="73" width="13.5" style="73" customWidth="1"/>
    <col min="74" max="74" width="14.25" style="73" customWidth="1"/>
    <col min="75" max="75" width="20.75" style="77" customWidth="1"/>
    <col min="76" max="76" width="17.625" style="73" customWidth="1"/>
    <col min="77" max="77" width="13.5" style="73" customWidth="1"/>
    <col min="78" max="78" width="13.25" style="73" customWidth="1"/>
    <col min="79" max="79" width="19" style="73" customWidth="1"/>
    <col min="80" max="80" width="15.25" style="73" customWidth="1"/>
    <col min="81" max="81" width="16" style="73" customWidth="1"/>
    <col min="82" max="82" width="14.25" style="73" customWidth="1"/>
    <col min="83" max="83" width="9" style="73"/>
    <col min="84" max="84" width="19" style="73" customWidth="1"/>
    <col min="85" max="85" width="16.875" style="73" customWidth="1"/>
    <col min="86" max="87" width="15" style="73" customWidth="1"/>
    <col min="88" max="88" width="9" style="73"/>
    <col min="89" max="89" width="19" style="77" customWidth="1"/>
    <col min="90" max="90" width="17.375" style="73" customWidth="1"/>
    <col min="91" max="91" width="13.5" style="73" customWidth="1"/>
    <col min="92" max="92" width="14.875" style="73" customWidth="1"/>
    <col min="93" max="93" width="15.25" style="73" customWidth="1"/>
    <col min="94" max="94" width="18.5" style="73" customWidth="1"/>
    <col min="95" max="99" width="15.25" style="73" customWidth="1"/>
    <col min="100" max="100" width="21.375" style="73" customWidth="1"/>
    <col min="101" max="101" width="19.75" style="73" customWidth="1"/>
    <col min="102" max="102" width="16.525" style="73" customWidth="1"/>
    <col min="103" max="103" width="15.25" style="73" customWidth="1"/>
    <col min="104" max="104" width="19" style="73" customWidth="1"/>
    <col min="105" max="105" width="21.5" style="73" customWidth="1"/>
    <col min="106" max="106" width="13.25" style="73" customWidth="1"/>
    <col min="107" max="107" width="12.75" style="77" customWidth="1"/>
    <col min="108" max="108" width="24.75" style="77" customWidth="1"/>
    <col min="109" max="109" width="20" style="77" customWidth="1"/>
    <col min="110" max="110" width="16.25" style="77" customWidth="1"/>
    <col min="111" max="111" width="9" style="73"/>
    <col min="112" max="112" width="19" style="73" customWidth="1"/>
    <col min="113" max="113" width="19.375" style="73" customWidth="1"/>
    <col min="114" max="114" width="15" style="73" customWidth="1"/>
    <col min="115" max="115" width="12" style="77" customWidth="1"/>
    <col min="116" max="116" width="19" style="73" customWidth="1"/>
    <col min="117" max="117" width="19.125" style="73" customWidth="1"/>
    <col min="118" max="118" width="15.125" style="73" customWidth="1"/>
    <col min="119" max="119" width="12.125" style="77" customWidth="1"/>
    <col min="120" max="120" width="19" style="73" customWidth="1"/>
    <col min="121" max="121" width="18.75" style="73" customWidth="1"/>
    <col min="122" max="122" width="12.75" style="73" customWidth="1"/>
    <col min="123" max="123" width="13.75" style="73" customWidth="1"/>
    <col min="124" max="124" width="23.875" style="73" customWidth="1"/>
    <col min="125" max="125" width="18.75" style="73" customWidth="1"/>
    <col min="126" max="126" width="12.75" style="73" customWidth="1"/>
    <col min="127" max="127" width="9" style="73"/>
    <col min="128" max="128" width="23.875" style="73" customWidth="1"/>
    <col min="129" max="129" width="18.75" style="73" customWidth="1"/>
    <col min="130" max="130" width="12.75" style="73" customWidth="1"/>
    <col min="131" max="16343" width="9" style="73"/>
  </cols>
  <sheetData>
    <row r="1" s="68" customFormat="1" ht="21.75" customHeight="1" spans="1:130">
      <c r="A1" s="78"/>
      <c r="B1" s="79" t="s">
        <v>61</v>
      </c>
      <c r="C1" s="79"/>
      <c r="D1" s="79"/>
      <c r="E1" s="106"/>
      <c r="F1" s="107"/>
      <c r="G1" s="79" t="s">
        <v>62</v>
      </c>
      <c r="H1" s="79"/>
      <c r="I1" s="79"/>
      <c r="J1" s="79"/>
      <c r="K1" s="107"/>
      <c r="L1" s="79" t="s">
        <v>63</v>
      </c>
      <c r="M1" s="79"/>
      <c r="N1" s="79"/>
      <c r="O1" s="79"/>
      <c r="P1" s="142"/>
      <c r="Q1" s="79" t="s">
        <v>64</v>
      </c>
      <c r="R1" s="79"/>
      <c r="S1" s="79"/>
      <c r="T1" s="74"/>
      <c r="U1" s="79" t="s">
        <v>65</v>
      </c>
      <c r="V1" s="79"/>
      <c r="W1" s="79"/>
      <c r="X1" s="157"/>
      <c r="Y1" s="142"/>
      <c r="Z1" s="79" t="s">
        <v>66</v>
      </c>
      <c r="AA1" s="79"/>
      <c r="AB1" s="79"/>
      <c r="AC1" s="79"/>
      <c r="AD1" s="142"/>
      <c r="AE1" s="79" t="s">
        <v>67</v>
      </c>
      <c r="AF1" s="79"/>
      <c r="AG1" s="79"/>
      <c r="AH1" s="193"/>
      <c r="AI1" s="194" t="s">
        <v>68</v>
      </c>
      <c r="AJ1" s="194"/>
      <c r="AK1" s="194"/>
      <c r="AL1" s="107"/>
      <c r="AM1" s="162" t="s">
        <v>69</v>
      </c>
      <c r="AN1" s="162"/>
      <c r="AO1" s="162"/>
      <c r="AP1" s="193"/>
      <c r="AQ1" s="79" t="s">
        <v>70</v>
      </c>
      <c r="AR1" s="79"/>
      <c r="AS1" s="79"/>
      <c r="AT1" s="79"/>
      <c r="AU1" s="79"/>
      <c r="AV1" s="142"/>
      <c r="AW1" s="79" t="s">
        <v>71</v>
      </c>
      <c r="AX1" s="79"/>
      <c r="AY1" s="79"/>
      <c r="AZ1" s="236"/>
      <c r="BA1" s="79" t="s">
        <v>72</v>
      </c>
      <c r="BB1" s="79"/>
      <c r="BC1" s="79"/>
      <c r="BD1" s="79"/>
      <c r="BE1" s="258"/>
      <c r="BF1" s="79" t="s">
        <v>73</v>
      </c>
      <c r="BG1" s="79"/>
      <c r="BH1" s="79"/>
      <c r="BJ1" s="79" t="s">
        <v>74</v>
      </c>
      <c r="BK1" s="79"/>
      <c r="BL1" s="79"/>
      <c r="BM1" s="79"/>
      <c r="BO1" s="79" t="s">
        <v>35</v>
      </c>
      <c r="BP1" s="79"/>
      <c r="BQ1" s="79"/>
      <c r="BR1" s="77"/>
      <c r="BS1" s="79" t="s">
        <v>35</v>
      </c>
      <c r="BT1" s="79"/>
      <c r="BU1" s="79"/>
      <c r="BV1" s="77"/>
      <c r="BW1" s="79" t="s">
        <v>35</v>
      </c>
      <c r="BX1" s="79"/>
      <c r="BY1" s="79"/>
      <c r="BZ1" s="77"/>
      <c r="CA1" s="79" t="s">
        <v>35</v>
      </c>
      <c r="CB1" s="79"/>
      <c r="CC1" s="79"/>
      <c r="CD1" s="79"/>
      <c r="CE1" s="282"/>
      <c r="CF1" s="79" t="s">
        <v>35</v>
      </c>
      <c r="CG1" s="79"/>
      <c r="CH1" s="79"/>
      <c r="CI1" s="79"/>
      <c r="CJ1" s="77"/>
      <c r="CK1" s="79" t="s">
        <v>35</v>
      </c>
      <c r="CL1" s="79"/>
      <c r="CM1" s="79"/>
      <c r="CN1" s="79"/>
      <c r="CO1" s="309"/>
      <c r="CP1" s="79" t="s">
        <v>35</v>
      </c>
      <c r="CQ1" s="79"/>
      <c r="CR1" s="79"/>
      <c r="CS1" s="79"/>
      <c r="CT1" s="79"/>
      <c r="CU1" s="309"/>
      <c r="CV1" s="79" t="s">
        <v>35</v>
      </c>
      <c r="CW1" s="79"/>
      <c r="CX1" s="79"/>
      <c r="CY1" s="309"/>
      <c r="CZ1" s="79" t="s">
        <v>35</v>
      </c>
      <c r="DA1" s="79"/>
      <c r="DB1" s="79"/>
      <c r="DC1" s="108"/>
      <c r="DD1" s="79" t="s">
        <v>35</v>
      </c>
      <c r="DE1" s="79"/>
      <c r="DF1" s="79"/>
      <c r="DG1" s="177"/>
      <c r="DH1" s="324" t="s">
        <v>35</v>
      </c>
      <c r="DI1" s="324"/>
      <c r="DJ1" s="324"/>
      <c r="DK1" s="177"/>
      <c r="DL1" s="324" t="s">
        <v>35</v>
      </c>
      <c r="DM1" s="324"/>
      <c r="DN1" s="324"/>
      <c r="DO1" s="77"/>
      <c r="DP1" s="331" t="s">
        <v>35</v>
      </c>
      <c r="DQ1" s="331"/>
      <c r="DR1" s="331"/>
      <c r="DS1" s="177"/>
      <c r="DT1" s="331" t="s">
        <v>35</v>
      </c>
      <c r="DU1" s="331"/>
      <c r="DV1" s="331"/>
      <c r="DX1" s="331" t="s">
        <v>35</v>
      </c>
      <c r="DY1" s="331"/>
      <c r="DZ1" s="331"/>
    </row>
    <row r="2" s="69" customFormat="1" ht="24" customHeight="1" spans="1:130">
      <c r="A2" s="80"/>
      <c r="B2" s="81" t="s">
        <v>75</v>
      </c>
      <c r="C2" s="82" t="s">
        <v>76</v>
      </c>
      <c r="D2" s="83" t="s">
        <v>77</v>
      </c>
      <c r="E2" s="108"/>
      <c r="F2" s="108"/>
      <c r="G2" s="109" t="s">
        <v>75</v>
      </c>
      <c r="H2" s="110" t="s">
        <v>78</v>
      </c>
      <c r="I2" s="82" t="s">
        <v>77</v>
      </c>
      <c r="J2" s="125" t="s">
        <v>79</v>
      </c>
      <c r="K2" s="111"/>
      <c r="L2" s="81" t="s">
        <v>75</v>
      </c>
      <c r="M2" s="82" t="s">
        <v>76</v>
      </c>
      <c r="N2" s="82" t="s">
        <v>77</v>
      </c>
      <c r="O2" s="83" t="s">
        <v>80</v>
      </c>
      <c r="P2" s="108"/>
      <c r="Q2" s="81" t="s">
        <v>75</v>
      </c>
      <c r="R2" s="82" t="s">
        <v>76</v>
      </c>
      <c r="S2" s="83" t="s">
        <v>77</v>
      </c>
      <c r="T2" s="152"/>
      <c r="U2" s="81" t="s">
        <v>75</v>
      </c>
      <c r="V2" s="82" t="s">
        <v>81</v>
      </c>
      <c r="W2" s="83" t="s">
        <v>77</v>
      </c>
      <c r="X2" s="108"/>
      <c r="Y2" s="108"/>
      <c r="Z2" s="81" t="s">
        <v>75</v>
      </c>
      <c r="AA2" s="82" t="s">
        <v>82</v>
      </c>
      <c r="AB2" s="82" t="s">
        <v>76</v>
      </c>
      <c r="AC2" s="83" t="s">
        <v>77</v>
      </c>
      <c r="AD2" s="165"/>
      <c r="AE2" s="81" t="s">
        <v>75</v>
      </c>
      <c r="AF2" s="82" t="s">
        <v>83</v>
      </c>
      <c r="AG2" s="83" t="s">
        <v>77</v>
      </c>
      <c r="AH2" s="108"/>
      <c r="AI2" s="195" t="s">
        <v>75</v>
      </c>
      <c r="AJ2" s="82" t="s">
        <v>83</v>
      </c>
      <c r="AK2" s="195" t="s">
        <v>77</v>
      </c>
      <c r="AL2" s="165"/>
      <c r="AM2" s="81" t="s">
        <v>75</v>
      </c>
      <c r="AN2" s="82" t="s">
        <v>84</v>
      </c>
      <c r="AO2" s="118" t="s">
        <v>77</v>
      </c>
      <c r="AP2" s="165"/>
      <c r="AQ2" s="214" t="s">
        <v>85</v>
      </c>
      <c r="AR2" s="164" t="s">
        <v>86</v>
      </c>
      <c r="AS2" s="164" t="s">
        <v>77</v>
      </c>
      <c r="AT2" s="224" t="s">
        <v>87</v>
      </c>
      <c r="AU2" s="225" t="s">
        <v>88</v>
      </c>
      <c r="AV2" s="225"/>
      <c r="AW2" s="237" t="s">
        <v>75</v>
      </c>
      <c r="AX2" s="82" t="s">
        <v>89</v>
      </c>
      <c r="AY2" s="227" t="s">
        <v>77</v>
      </c>
      <c r="AZ2" s="108"/>
      <c r="BA2" s="214" t="s">
        <v>75</v>
      </c>
      <c r="BB2" s="164" t="s">
        <v>90</v>
      </c>
      <c r="BC2" s="164" t="s">
        <v>91</v>
      </c>
      <c r="BD2" s="108" t="s">
        <v>77</v>
      </c>
      <c r="BE2" s="108"/>
      <c r="BF2" s="130" t="s">
        <v>85</v>
      </c>
      <c r="BG2" s="82" t="s">
        <v>92</v>
      </c>
      <c r="BH2" s="83" t="s">
        <v>77</v>
      </c>
      <c r="BJ2" s="214" t="s">
        <v>75</v>
      </c>
      <c r="BK2" s="82" t="s">
        <v>93</v>
      </c>
      <c r="BL2" s="270" t="s">
        <v>94</v>
      </c>
      <c r="BM2" s="275"/>
      <c r="BO2" s="214" t="s">
        <v>95</v>
      </c>
      <c r="BP2" s="276" t="s">
        <v>76</v>
      </c>
      <c r="BQ2" s="108" t="s">
        <v>77</v>
      </c>
      <c r="BR2" s="84"/>
      <c r="BS2" s="214" t="s">
        <v>96</v>
      </c>
      <c r="BT2" s="276" t="s">
        <v>76</v>
      </c>
      <c r="BU2" s="108" t="s">
        <v>77</v>
      </c>
      <c r="BV2" s="84"/>
      <c r="BW2" s="214" t="s">
        <v>97</v>
      </c>
      <c r="BX2" s="163" t="s">
        <v>76</v>
      </c>
      <c r="BY2" s="108" t="s">
        <v>77</v>
      </c>
      <c r="BZ2" s="84"/>
      <c r="CA2" s="214" t="s">
        <v>98</v>
      </c>
      <c r="CB2" s="163" t="s">
        <v>76</v>
      </c>
      <c r="CC2" s="304" t="s">
        <v>77</v>
      </c>
      <c r="CD2" s="108" t="s">
        <v>99</v>
      </c>
      <c r="CE2" s="165"/>
      <c r="CF2" s="214" t="s">
        <v>100</v>
      </c>
      <c r="CG2" s="163" t="s">
        <v>76</v>
      </c>
      <c r="CH2" s="304" t="s">
        <v>77</v>
      </c>
      <c r="CI2" s="307" t="s">
        <v>99</v>
      </c>
      <c r="CJ2" s="165"/>
      <c r="CK2" s="308" t="s">
        <v>101</v>
      </c>
      <c r="CL2" s="163" t="s">
        <v>76</v>
      </c>
      <c r="CM2" s="304" t="s">
        <v>77</v>
      </c>
      <c r="CN2" s="307" t="s">
        <v>99</v>
      </c>
      <c r="CO2" s="165"/>
      <c r="CP2" s="308" t="s">
        <v>102</v>
      </c>
      <c r="CQ2" s="163" t="s">
        <v>103</v>
      </c>
      <c r="CR2" s="304" t="s">
        <v>77</v>
      </c>
      <c r="CS2" s="307" t="s">
        <v>104</v>
      </c>
      <c r="CT2" s="307" t="s">
        <v>105</v>
      </c>
      <c r="CU2" s="165"/>
      <c r="CV2" s="308" t="s">
        <v>106</v>
      </c>
      <c r="CW2" s="318" t="s">
        <v>107</v>
      </c>
      <c r="CX2" s="319" t="s">
        <v>108</v>
      </c>
      <c r="CY2" s="165"/>
      <c r="CZ2" s="308" t="s">
        <v>109</v>
      </c>
      <c r="DA2" s="304" t="s">
        <v>76</v>
      </c>
      <c r="DB2" s="320" t="s">
        <v>77</v>
      </c>
      <c r="DC2" s="108"/>
      <c r="DD2" s="308" t="s">
        <v>110</v>
      </c>
      <c r="DE2" s="304" t="s">
        <v>103</v>
      </c>
      <c r="DF2" s="320" t="s">
        <v>77</v>
      </c>
      <c r="DG2" s="108"/>
      <c r="DH2" s="308" t="s">
        <v>111</v>
      </c>
      <c r="DI2" s="304" t="s">
        <v>76</v>
      </c>
      <c r="DJ2" s="320" t="s">
        <v>77</v>
      </c>
      <c r="DK2" s="108"/>
      <c r="DL2" s="308" t="s">
        <v>112</v>
      </c>
      <c r="DM2" s="304" t="s">
        <v>76</v>
      </c>
      <c r="DN2" s="307" t="s">
        <v>77</v>
      </c>
      <c r="DO2" s="84"/>
      <c r="DP2" s="308" t="s">
        <v>113</v>
      </c>
      <c r="DQ2" s="304" t="s">
        <v>114</v>
      </c>
      <c r="DR2" s="320" t="s">
        <v>77</v>
      </c>
      <c r="DS2" s="84"/>
      <c r="DT2" s="308" t="s">
        <v>115</v>
      </c>
      <c r="DU2" s="304" t="s">
        <v>84</v>
      </c>
      <c r="DV2" s="320" t="s">
        <v>77</v>
      </c>
      <c r="DX2" s="308" t="s">
        <v>116</v>
      </c>
      <c r="DY2" s="304" t="s">
        <v>84</v>
      </c>
      <c r="DZ2" s="320" t="s">
        <v>77</v>
      </c>
    </row>
    <row r="3" s="70" customFormat="1" ht="13.5" customHeight="1" spans="1:130">
      <c r="A3" s="84"/>
      <c r="B3" s="85" t="s">
        <v>95</v>
      </c>
      <c r="C3" s="86">
        <v>5715.43141746784</v>
      </c>
      <c r="D3" s="87">
        <v>5.15062929653443</v>
      </c>
      <c r="E3" s="87"/>
      <c r="F3" s="111"/>
      <c r="G3" s="112" t="s">
        <v>117</v>
      </c>
      <c r="H3" s="113">
        <v>6305</v>
      </c>
      <c r="I3" s="126">
        <v>7.1</v>
      </c>
      <c r="J3" s="127">
        <v>28.8</v>
      </c>
      <c r="K3" s="111"/>
      <c r="L3" s="128" t="s">
        <v>97</v>
      </c>
      <c r="M3" s="143">
        <v>1073.171983088</v>
      </c>
      <c r="N3" s="144">
        <v>6.97109827145629</v>
      </c>
      <c r="O3" s="119" t="s">
        <v>118</v>
      </c>
      <c r="P3" s="87"/>
      <c r="Q3" s="100" t="s">
        <v>119</v>
      </c>
      <c r="R3" s="89">
        <v>57.390187482006</v>
      </c>
      <c r="S3" s="87">
        <v>2.95761716154019</v>
      </c>
      <c r="T3" s="108"/>
      <c r="U3" s="158" t="s">
        <v>120</v>
      </c>
      <c r="V3" s="89">
        <v>11357</v>
      </c>
      <c r="W3" s="87">
        <v>-9.9</v>
      </c>
      <c r="X3" s="108"/>
      <c r="Y3" s="108"/>
      <c r="Z3" s="100" t="s">
        <v>121</v>
      </c>
      <c r="AA3" s="92">
        <v>746.58098723</v>
      </c>
      <c r="AB3" s="92">
        <v>2103.40660525</v>
      </c>
      <c r="AC3" s="181">
        <v>10.815</v>
      </c>
      <c r="AD3" s="87"/>
      <c r="AE3" s="100" t="s">
        <v>122</v>
      </c>
      <c r="AF3" s="154"/>
      <c r="AG3" s="87"/>
      <c r="AH3" s="87"/>
      <c r="AI3" s="196" t="s">
        <v>123</v>
      </c>
      <c r="AJ3" s="197"/>
      <c r="AK3" s="169"/>
      <c r="AL3" s="87"/>
      <c r="AM3" s="85" t="s">
        <v>124</v>
      </c>
      <c r="AN3" s="89">
        <v>25122</v>
      </c>
      <c r="AO3" s="90">
        <v>4.3</v>
      </c>
      <c r="AP3" s="87"/>
      <c r="AQ3" s="215"/>
      <c r="AR3" s="82"/>
      <c r="AS3" s="82"/>
      <c r="AT3" s="226"/>
      <c r="AU3" s="227"/>
      <c r="AV3" s="225"/>
      <c r="AW3" s="238" t="s">
        <v>125</v>
      </c>
      <c r="AX3" s="92">
        <v>8.39</v>
      </c>
      <c r="AY3" s="87">
        <v>11.03</v>
      </c>
      <c r="AZ3" s="127"/>
      <c r="BA3" s="215"/>
      <c r="BB3" s="82"/>
      <c r="BC3" s="82"/>
      <c r="BD3" s="83"/>
      <c r="BE3" s="108"/>
      <c r="BF3" s="216" t="s">
        <v>126</v>
      </c>
      <c r="BG3" s="92">
        <v>959.46</v>
      </c>
      <c r="BH3" s="87" t="s">
        <v>118</v>
      </c>
      <c r="BJ3" s="215"/>
      <c r="BK3" s="226" t="s">
        <v>127</v>
      </c>
      <c r="BL3" s="271" t="s">
        <v>93</v>
      </c>
      <c r="BM3" s="83" t="s">
        <v>89</v>
      </c>
      <c r="BO3" s="215"/>
      <c r="BP3" s="277"/>
      <c r="BQ3" s="83"/>
      <c r="BR3" s="84"/>
      <c r="BS3" s="215"/>
      <c r="BT3" s="277"/>
      <c r="BU3" s="83"/>
      <c r="BV3" s="84"/>
      <c r="BW3" s="293"/>
      <c r="BX3" s="294"/>
      <c r="BY3" s="300"/>
      <c r="BZ3" s="84"/>
      <c r="CA3" s="215"/>
      <c r="CB3" s="294"/>
      <c r="CC3" s="82"/>
      <c r="CD3" s="83"/>
      <c r="CE3" s="165"/>
      <c r="CF3" s="215"/>
      <c r="CG3" s="294"/>
      <c r="CH3" s="82"/>
      <c r="CI3" s="118"/>
      <c r="CJ3" s="165"/>
      <c r="CK3" s="215"/>
      <c r="CL3" s="294"/>
      <c r="CM3" s="82"/>
      <c r="CN3" s="118"/>
      <c r="CO3" s="165"/>
      <c r="CP3" s="215"/>
      <c r="CQ3" s="294"/>
      <c r="CR3" s="82"/>
      <c r="CS3" s="118"/>
      <c r="CT3" s="118"/>
      <c r="CU3" s="165"/>
      <c r="CV3" s="215"/>
      <c r="CW3" s="110"/>
      <c r="CX3" s="288"/>
      <c r="CY3" s="165"/>
      <c r="CZ3" s="215"/>
      <c r="DA3" s="82"/>
      <c r="DB3" s="83"/>
      <c r="DC3" s="108"/>
      <c r="DD3" s="215"/>
      <c r="DE3" s="82"/>
      <c r="DF3" s="83"/>
      <c r="DG3" s="108"/>
      <c r="DH3" s="215"/>
      <c r="DI3" s="82"/>
      <c r="DJ3" s="83"/>
      <c r="DK3" s="108"/>
      <c r="DL3" s="215"/>
      <c r="DM3" s="82"/>
      <c r="DN3" s="118"/>
      <c r="DO3" s="84"/>
      <c r="DP3" s="215"/>
      <c r="DQ3" s="82"/>
      <c r="DR3" s="83"/>
      <c r="DS3" s="84"/>
      <c r="DT3" s="215"/>
      <c r="DU3" s="82"/>
      <c r="DV3" s="83"/>
      <c r="DX3" s="215"/>
      <c r="DY3" s="82"/>
      <c r="DZ3" s="83"/>
    </row>
    <row r="4" s="70" customFormat="1" ht="13.5" customHeight="1" spans="1:130">
      <c r="A4" s="84"/>
      <c r="B4" s="88" t="s">
        <v>128</v>
      </c>
      <c r="C4" s="89">
        <v>4371.09422411205</v>
      </c>
      <c r="D4" s="90">
        <v>4.97988317918652</v>
      </c>
      <c r="E4" s="87"/>
      <c r="F4" s="111"/>
      <c r="G4" s="114" t="s">
        <v>129</v>
      </c>
      <c r="H4" s="113">
        <v>3448</v>
      </c>
      <c r="I4" s="126">
        <v>6.5</v>
      </c>
      <c r="J4" s="127">
        <v>15.8</v>
      </c>
      <c r="K4" s="111"/>
      <c r="L4" s="100" t="s">
        <v>130</v>
      </c>
      <c r="M4" s="89">
        <v>733.09126</v>
      </c>
      <c r="N4" s="92">
        <v>9</v>
      </c>
      <c r="O4" s="87">
        <v>68.3106968456785</v>
      </c>
      <c r="P4" s="145"/>
      <c r="Q4" s="100" t="s">
        <v>131</v>
      </c>
      <c r="R4" s="89">
        <v>4.13426276180389</v>
      </c>
      <c r="S4" s="87">
        <v>9.14001162720588</v>
      </c>
      <c r="T4" s="153"/>
      <c r="U4" s="158" t="s">
        <v>132</v>
      </c>
      <c r="V4" s="89">
        <v>5678</v>
      </c>
      <c r="W4" s="87">
        <v>-11.7</v>
      </c>
      <c r="X4" s="108"/>
      <c r="Y4" s="108"/>
      <c r="Z4" s="100" t="s">
        <v>133</v>
      </c>
      <c r="AA4" s="92">
        <v>523.59191019</v>
      </c>
      <c r="AB4" s="92">
        <v>1470.50145648</v>
      </c>
      <c r="AC4" s="181">
        <v>18.708</v>
      </c>
      <c r="AD4" s="87"/>
      <c r="AE4" s="100" t="s">
        <v>134</v>
      </c>
      <c r="AF4" s="182">
        <v>7416</v>
      </c>
      <c r="AG4" s="87" t="s">
        <v>135</v>
      </c>
      <c r="AH4" s="111"/>
      <c r="AI4" s="78" t="s">
        <v>136</v>
      </c>
      <c r="AJ4" s="198">
        <v>6350</v>
      </c>
      <c r="AK4" s="87" t="s">
        <v>135</v>
      </c>
      <c r="AL4" s="153"/>
      <c r="AM4" s="85" t="s">
        <v>137</v>
      </c>
      <c r="AN4" s="89">
        <v>15493</v>
      </c>
      <c r="AO4" s="90">
        <v>4.1</v>
      </c>
      <c r="AP4" s="87"/>
      <c r="AQ4" s="216" t="s">
        <v>138</v>
      </c>
      <c r="AR4" s="92">
        <v>81169.2464586587</v>
      </c>
      <c r="AS4" s="92">
        <v>2.45</v>
      </c>
      <c r="AT4" s="92">
        <v>1647.6572788009</v>
      </c>
      <c r="AU4" s="87">
        <v>1636.7742652478</v>
      </c>
      <c r="AV4" s="228"/>
      <c r="AW4" s="239" t="s">
        <v>139</v>
      </c>
      <c r="AX4" s="92">
        <v>3.74</v>
      </c>
      <c r="AY4" s="87">
        <v>15.04</v>
      </c>
      <c r="AZ4" s="240"/>
      <c r="BA4" s="85" t="s">
        <v>140</v>
      </c>
      <c r="BB4" s="184">
        <v>86.98212844</v>
      </c>
      <c r="BC4" s="184">
        <v>244.97335604</v>
      </c>
      <c r="BD4" s="127">
        <v>3.1652834915</v>
      </c>
      <c r="BE4" s="127"/>
      <c r="BF4" s="85" t="s">
        <v>141</v>
      </c>
      <c r="BG4" s="184">
        <v>844.96</v>
      </c>
      <c r="BH4" s="87" t="s">
        <v>118</v>
      </c>
      <c r="BI4" s="272"/>
      <c r="BJ4" s="158" t="s">
        <v>142</v>
      </c>
      <c r="BK4" s="170">
        <v>99.65577953</v>
      </c>
      <c r="BL4" s="170">
        <v>99.35150825</v>
      </c>
      <c r="BM4" s="111">
        <v>99.44658971</v>
      </c>
      <c r="BO4" s="85" t="s">
        <v>143</v>
      </c>
      <c r="BP4" s="164">
        <v>318758</v>
      </c>
      <c r="BQ4" s="127">
        <v>5.4</v>
      </c>
      <c r="BR4" s="84"/>
      <c r="BS4" s="85" t="s">
        <v>143</v>
      </c>
      <c r="BT4" s="287">
        <v>195142</v>
      </c>
      <c r="BU4" s="127">
        <v>5.3</v>
      </c>
      <c r="BV4" s="84"/>
      <c r="BW4" s="295" t="s">
        <v>143</v>
      </c>
      <c r="BX4" s="296" t="s">
        <v>118</v>
      </c>
      <c r="BY4" s="301">
        <v>6.5</v>
      </c>
      <c r="BZ4" s="84"/>
      <c r="CA4" s="97" t="s">
        <v>144</v>
      </c>
      <c r="CB4" s="143">
        <v>1849.09067</v>
      </c>
      <c r="CC4" s="305">
        <v>10.2693765840585</v>
      </c>
      <c r="CD4" s="288" t="s">
        <v>118</v>
      </c>
      <c r="CE4" s="282"/>
      <c r="CF4" s="97" t="s">
        <v>144</v>
      </c>
      <c r="CG4" s="143">
        <v>3664.32469</v>
      </c>
      <c r="CH4" s="305">
        <v>10</v>
      </c>
      <c r="CI4" s="288" t="s">
        <v>118</v>
      </c>
      <c r="CJ4" s="282"/>
      <c r="CK4" s="97" t="s">
        <v>144</v>
      </c>
      <c r="CL4" s="143">
        <v>2696.51553</v>
      </c>
      <c r="CM4" s="305">
        <v>13.1</v>
      </c>
      <c r="CN4" s="288" t="s">
        <v>118</v>
      </c>
      <c r="CO4" s="228"/>
      <c r="CP4" s="279" t="s">
        <v>145</v>
      </c>
      <c r="CQ4" s="143">
        <v>131.00534</v>
      </c>
      <c r="CR4" s="306">
        <v>7</v>
      </c>
      <c r="CS4" s="311">
        <v>4.25021319222327</v>
      </c>
      <c r="CT4" s="312">
        <v>0.183880171180639</v>
      </c>
      <c r="CU4" s="228"/>
      <c r="CV4" s="97" t="s">
        <v>144</v>
      </c>
      <c r="CW4" s="144">
        <v>2</v>
      </c>
      <c r="CX4" s="288">
        <v>11.3</v>
      </c>
      <c r="CY4" s="228"/>
      <c r="CZ4" s="85" t="s">
        <v>143</v>
      </c>
      <c r="DA4" s="154">
        <v>124671</v>
      </c>
      <c r="DB4" s="282">
        <v>4.6</v>
      </c>
      <c r="DC4" s="282"/>
      <c r="DD4" s="279" t="s">
        <v>145</v>
      </c>
      <c r="DE4" s="143">
        <v>3308.47967</v>
      </c>
      <c r="DF4" s="119">
        <v>5.5</v>
      </c>
      <c r="DG4" s="325"/>
      <c r="DH4" s="97" t="s">
        <v>144</v>
      </c>
      <c r="DI4" s="144">
        <v>12932.23</v>
      </c>
      <c r="DJ4" s="288">
        <v>7.25</v>
      </c>
      <c r="DK4" s="329"/>
      <c r="DL4" s="97" t="s">
        <v>144</v>
      </c>
      <c r="DM4" s="144">
        <v>9707.54</v>
      </c>
      <c r="DN4" s="332">
        <v>11.08</v>
      </c>
      <c r="DO4" s="333"/>
      <c r="DP4" s="284" t="s">
        <v>145</v>
      </c>
      <c r="DQ4" s="327">
        <v>14.0414</v>
      </c>
      <c r="DR4" s="328">
        <v>-43.62</v>
      </c>
      <c r="DS4" s="84"/>
      <c r="DT4" s="284" t="s">
        <v>145</v>
      </c>
      <c r="DU4" s="336">
        <v>27272</v>
      </c>
      <c r="DV4" s="337">
        <v>4.1</v>
      </c>
      <c r="DX4" s="284" t="s">
        <v>145</v>
      </c>
      <c r="DY4" s="336">
        <v>17513</v>
      </c>
      <c r="DZ4" s="337">
        <v>4.9</v>
      </c>
    </row>
    <row r="5" s="70" customFormat="1" ht="13.5" customHeight="1" spans="1:130">
      <c r="A5" s="84"/>
      <c r="B5" s="88" t="s">
        <v>97</v>
      </c>
      <c r="C5" s="89">
        <v>1073.171983088</v>
      </c>
      <c r="D5" s="90">
        <v>6.97109827145629</v>
      </c>
      <c r="E5" s="87"/>
      <c r="F5" s="111"/>
      <c r="G5" s="115" t="s">
        <v>146</v>
      </c>
      <c r="H5" s="98">
        <v>1612</v>
      </c>
      <c r="I5" s="99">
        <v>2.8</v>
      </c>
      <c r="J5" s="120">
        <v>7.4</v>
      </c>
      <c r="K5" s="111"/>
      <c r="L5" s="100" t="s">
        <v>147</v>
      </c>
      <c r="M5" s="89">
        <v>554.9548</v>
      </c>
      <c r="N5" s="92">
        <v>11.6</v>
      </c>
      <c r="O5" s="87">
        <v>51.7116369738935</v>
      </c>
      <c r="P5" s="145"/>
      <c r="Q5" s="101" t="s">
        <v>148</v>
      </c>
      <c r="R5" s="89">
        <v>95.9</v>
      </c>
      <c r="S5" s="87">
        <v>3</v>
      </c>
      <c r="T5" s="153"/>
      <c r="U5" s="158" t="s">
        <v>149</v>
      </c>
      <c r="V5" s="89">
        <v>193</v>
      </c>
      <c r="W5" s="87">
        <v>-22</v>
      </c>
      <c r="X5" s="108"/>
      <c r="Y5" s="108"/>
      <c r="Z5" s="100" t="s">
        <v>150</v>
      </c>
      <c r="AA5" s="92">
        <v>505.42636128</v>
      </c>
      <c r="AB5" s="92">
        <v>1414.09261813</v>
      </c>
      <c r="AC5" s="181">
        <v>18.737</v>
      </c>
      <c r="AD5" s="87"/>
      <c r="AE5" s="100" t="s">
        <v>151</v>
      </c>
      <c r="AF5" s="89">
        <v>29107.60094</v>
      </c>
      <c r="AG5" s="87">
        <v>6.6</v>
      </c>
      <c r="AH5" s="87"/>
      <c r="AI5" s="78" t="s">
        <v>152</v>
      </c>
      <c r="AJ5" s="198">
        <v>49272.23636</v>
      </c>
      <c r="AK5" s="211">
        <v>7.4</v>
      </c>
      <c r="AL5" s="212"/>
      <c r="AM5" s="85" t="s">
        <v>153</v>
      </c>
      <c r="AN5" s="89">
        <v>2385</v>
      </c>
      <c r="AO5" s="90">
        <v>4.2</v>
      </c>
      <c r="AP5" s="87"/>
      <c r="AQ5" s="217" t="s">
        <v>154</v>
      </c>
      <c r="AR5" s="92">
        <v>27329.8464792538</v>
      </c>
      <c r="AS5" s="92">
        <v>9.86</v>
      </c>
      <c r="AT5" s="92">
        <v>1496.7367864317</v>
      </c>
      <c r="AU5" s="87">
        <v>1445.9955484839</v>
      </c>
      <c r="AV5" s="228"/>
      <c r="AW5" s="239" t="s">
        <v>155</v>
      </c>
      <c r="AX5" s="92">
        <v>4.65</v>
      </c>
      <c r="AY5" s="87">
        <v>8.02</v>
      </c>
      <c r="AZ5" s="240"/>
      <c r="BA5" s="85" t="s">
        <v>156</v>
      </c>
      <c r="BB5" s="184">
        <v>71.07619778</v>
      </c>
      <c r="BC5" s="184">
        <v>190.09839432</v>
      </c>
      <c r="BD5" s="127">
        <v>3.078375347</v>
      </c>
      <c r="BE5" s="87"/>
      <c r="BF5" s="85" t="s">
        <v>157</v>
      </c>
      <c r="BG5" s="184">
        <v>1171.7849</v>
      </c>
      <c r="BH5" s="259" t="s">
        <v>118</v>
      </c>
      <c r="BI5" s="272"/>
      <c r="BJ5" s="158" t="s">
        <v>158</v>
      </c>
      <c r="BK5" s="170">
        <v>98.98027293</v>
      </c>
      <c r="BL5" s="170">
        <v>98.30784084</v>
      </c>
      <c r="BM5" s="111">
        <v>98.83937616</v>
      </c>
      <c r="BO5" s="97" t="s">
        <v>144</v>
      </c>
      <c r="BP5" s="278">
        <v>22300</v>
      </c>
      <c r="BQ5" s="288">
        <v>6</v>
      </c>
      <c r="BR5" s="84"/>
      <c r="BS5" s="97" t="s">
        <v>144</v>
      </c>
      <c r="BT5" s="278">
        <v>13653</v>
      </c>
      <c r="BU5" s="288">
        <v>5.7</v>
      </c>
      <c r="BV5" s="84"/>
      <c r="BW5" s="97" t="s">
        <v>144</v>
      </c>
      <c r="BX5" s="297" t="s">
        <v>118</v>
      </c>
      <c r="BY5" s="288">
        <v>8.9</v>
      </c>
      <c r="BZ5" s="84"/>
      <c r="CA5" s="279" t="s">
        <v>145</v>
      </c>
      <c r="CB5" s="143">
        <v>439.09773</v>
      </c>
      <c r="CC5" s="306">
        <v>9.4</v>
      </c>
      <c r="CD5" s="289">
        <v>40.9158771305712</v>
      </c>
      <c r="CE5" s="282"/>
      <c r="CF5" s="279" t="s">
        <v>145</v>
      </c>
      <c r="CG5" s="143">
        <v>733.09126</v>
      </c>
      <c r="CH5" s="144">
        <v>9</v>
      </c>
      <c r="CI5" s="289">
        <v>68.3106968456785</v>
      </c>
      <c r="CJ5" s="282"/>
      <c r="CK5" s="279" t="s">
        <v>145</v>
      </c>
      <c r="CL5" s="143">
        <v>554.9548</v>
      </c>
      <c r="CM5" s="306">
        <v>11.6</v>
      </c>
      <c r="CN5" s="289">
        <v>51.7116369738935</v>
      </c>
      <c r="CO5" s="228"/>
      <c r="CP5" s="280" t="s">
        <v>159</v>
      </c>
      <c r="CQ5" s="281">
        <v>2.16922</v>
      </c>
      <c r="CR5" s="281">
        <v>11</v>
      </c>
      <c r="CS5" s="313">
        <v>0.86608404698834</v>
      </c>
      <c r="CT5" s="314">
        <v>0.0480032043970258</v>
      </c>
      <c r="CU5" s="228"/>
      <c r="CV5" s="279" t="s">
        <v>145</v>
      </c>
      <c r="CW5" s="144">
        <v>0.413222714514987</v>
      </c>
      <c r="CX5" s="289">
        <v>14.5876880021077</v>
      </c>
      <c r="CY5" s="228"/>
      <c r="CZ5" s="97" t="s">
        <v>144</v>
      </c>
      <c r="DA5" s="278">
        <v>9293.3411</v>
      </c>
      <c r="DB5" s="288">
        <v>4.5</v>
      </c>
      <c r="DC5" s="108"/>
      <c r="DD5" s="280" t="s">
        <v>159</v>
      </c>
      <c r="DE5" s="281">
        <v>178.88727</v>
      </c>
      <c r="DF5" s="291">
        <v>9.5</v>
      </c>
      <c r="DH5" s="279" t="s">
        <v>145</v>
      </c>
      <c r="DI5" s="144">
        <v>2103.41</v>
      </c>
      <c r="DJ5" s="119">
        <v>10.81</v>
      </c>
      <c r="DK5" s="329"/>
      <c r="DL5" s="279" t="s">
        <v>145</v>
      </c>
      <c r="DM5" s="144">
        <v>1470.5</v>
      </c>
      <c r="DN5" s="332">
        <v>18.71</v>
      </c>
      <c r="DO5" s="333"/>
      <c r="DP5" s="280" t="s">
        <v>159</v>
      </c>
      <c r="DQ5" s="281">
        <v>3.5694</v>
      </c>
      <c r="DR5" s="291">
        <v>-0.42</v>
      </c>
      <c r="DS5" s="84"/>
      <c r="DT5" s="280" t="s">
        <v>159</v>
      </c>
      <c r="DU5" s="338">
        <v>27043</v>
      </c>
      <c r="DV5" s="339">
        <v>4.1</v>
      </c>
      <c r="DX5" s="280" t="s">
        <v>159</v>
      </c>
      <c r="DY5" s="342" t="s">
        <v>135</v>
      </c>
      <c r="DZ5" s="343" t="s">
        <v>135</v>
      </c>
    </row>
    <row r="6" s="68" customFormat="1" ht="13.5" customHeight="1" spans="1:130">
      <c r="A6" s="91"/>
      <c r="B6" s="88" t="s">
        <v>109</v>
      </c>
      <c r="C6" s="89">
        <v>2074.557</v>
      </c>
      <c r="D6" s="90">
        <v>6.30702399011722</v>
      </c>
      <c r="E6" s="87"/>
      <c r="F6" s="111"/>
      <c r="G6" s="116" t="s">
        <v>160</v>
      </c>
      <c r="H6" s="86">
        <v>20400.59</v>
      </c>
      <c r="I6" s="102">
        <v>4.86632500424078</v>
      </c>
      <c r="J6" s="129" t="s">
        <v>118</v>
      </c>
      <c r="K6" s="111"/>
      <c r="L6" s="130" t="s">
        <v>161</v>
      </c>
      <c r="M6" s="103">
        <v>439.09773</v>
      </c>
      <c r="N6" s="104">
        <v>9.4</v>
      </c>
      <c r="O6" s="146">
        <v>40.9158771305712</v>
      </c>
      <c r="P6" s="145"/>
      <c r="Q6" s="130" t="s">
        <v>162</v>
      </c>
      <c r="R6" s="103">
        <v>85.7</v>
      </c>
      <c r="S6" s="120">
        <v>5.4</v>
      </c>
      <c r="T6" s="153"/>
      <c r="U6" s="158" t="s">
        <v>132</v>
      </c>
      <c r="V6" s="89">
        <v>134</v>
      </c>
      <c r="W6" s="87">
        <v>-21.5</v>
      </c>
      <c r="X6" s="108"/>
      <c r="Y6" s="108"/>
      <c r="Z6" s="100" t="s">
        <v>163</v>
      </c>
      <c r="AA6" s="92">
        <v>247.77502334</v>
      </c>
      <c r="AB6" s="92">
        <v>697.0999978</v>
      </c>
      <c r="AC6" s="87">
        <v>17.29</v>
      </c>
      <c r="AD6" s="87"/>
      <c r="AE6" s="100" t="s">
        <v>164</v>
      </c>
      <c r="AF6" s="89">
        <v>15201.76543</v>
      </c>
      <c r="AG6" s="87">
        <v>8.3</v>
      </c>
      <c r="AH6" s="87"/>
      <c r="AI6" s="78" t="s">
        <v>165</v>
      </c>
      <c r="AJ6" s="198">
        <v>3308.47967</v>
      </c>
      <c r="AK6" s="213">
        <v>5.5</v>
      </c>
      <c r="AL6" s="212"/>
      <c r="AM6" s="85" t="s">
        <v>166</v>
      </c>
      <c r="AN6" s="89">
        <v>3358</v>
      </c>
      <c r="AO6" s="90">
        <v>4.5</v>
      </c>
      <c r="AP6" s="87"/>
      <c r="AQ6" s="159" t="s">
        <v>167</v>
      </c>
      <c r="AR6" s="104">
        <v>33178.5917399463</v>
      </c>
      <c r="AS6" s="104">
        <v>-3.48</v>
      </c>
      <c r="AT6" s="104">
        <v>-149.0694540393</v>
      </c>
      <c r="AU6" s="120">
        <v>-513.9146504984</v>
      </c>
      <c r="AV6" s="228"/>
      <c r="AW6" s="239" t="s">
        <v>168</v>
      </c>
      <c r="AX6" s="92">
        <v>204.26</v>
      </c>
      <c r="AY6" s="87">
        <v>6.89</v>
      </c>
      <c r="AZ6" s="111"/>
      <c r="BA6" s="100" t="s">
        <v>169</v>
      </c>
      <c r="BB6" s="92">
        <v>40.32845403</v>
      </c>
      <c r="BC6" s="92">
        <v>99.32968741</v>
      </c>
      <c r="BD6" s="87">
        <v>1.5094110321</v>
      </c>
      <c r="BE6" s="87"/>
      <c r="BF6" s="85" t="s">
        <v>170</v>
      </c>
      <c r="BG6" s="184">
        <v>803.442</v>
      </c>
      <c r="BH6" s="259" t="s">
        <v>118</v>
      </c>
      <c r="BI6" s="272"/>
      <c r="BJ6" s="158" t="s">
        <v>171</v>
      </c>
      <c r="BK6" s="170">
        <v>100.0457087</v>
      </c>
      <c r="BL6" s="170">
        <v>100.72267515</v>
      </c>
      <c r="BM6" s="111">
        <v>101.30060585</v>
      </c>
      <c r="BO6" s="279" t="s">
        <v>172</v>
      </c>
      <c r="BP6" s="143">
        <v>5715.43141746784</v>
      </c>
      <c r="BQ6" s="289">
        <v>5.15062929653443</v>
      </c>
      <c r="BR6" s="290"/>
      <c r="BS6" s="279" t="s">
        <v>145</v>
      </c>
      <c r="BT6" s="143">
        <v>4371.09422411205</v>
      </c>
      <c r="BU6" s="289">
        <v>4.97988317918643</v>
      </c>
      <c r="BV6" s="290"/>
      <c r="BW6" s="279" t="s">
        <v>145</v>
      </c>
      <c r="BX6" s="298">
        <v>1073.171983088</v>
      </c>
      <c r="BY6" s="289">
        <v>6.97109827145629</v>
      </c>
      <c r="BZ6" s="84"/>
      <c r="CA6" s="280" t="s">
        <v>159</v>
      </c>
      <c r="CB6" s="281">
        <v>7.87517</v>
      </c>
      <c r="CC6" s="281">
        <v>0</v>
      </c>
      <c r="CD6" s="291">
        <v>4.79976925321765</v>
      </c>
      <c r="CE6" s="282"/>
      <c r="CF6" s="280" t="s">
        <v>159</v>
      </c>
      <c r="CG6" s="281">
        <v>13.5157</v>
      </c>
      <c r="CH6" s="281">
        <v>2.2</v>
      </c>
      <c r="CI6" s="291">
        <v>8.23756709959452</v>
      </c>
      <c r="CJ6" s="282"/>
      <c r="CK6" s="280" t="s">
        <v>159</v>
      </c>
      <c r="CL6" s="281">
        <v>10.173</v>
      </c>
      <c r="CM6" s="281">
        <v>6.9</v>
      </c>
      <c r="CN6" s="291">
        <v>6.20025378664628</v>
      </c>
      <c r="CO6" s="228"/>
      <c r="CP6" s="280" t="s">
        <v>173</v>
      </c>
      <c r="CQ6" s="281">
        <v>3.11792</v>
      </c>
      <c r="CR6" s="281">
        <v>16.9</v>
      </c>
      <c r="CS6" s="313">
        <v>7.09218599837362</v>
      </c>
      <c r="CT6" s="314">
        <v>0.793216568401695</v>
      </c>
      <c r="CU6" s="228"/>
      <c r="CV6" s="280" t="s">
        <v>159</v>
      </c>
      <c r="CW6" s="281">
        <v>1.09230369996646</v>
      </c>
      <c r="CX6" s="291">
        <v>42.9129298077241</v>
      </c>
      <c r="CY6" s="228"/>
      <c r="CZ6" s="279" t="s">
        <v>145</v>
      </c>
      <c r="DA6" s="143">
        <v>2074.557</v>
      </c>
      <c r="DB6" s="119">
        <v>6.307</v>
      </c>
      <c r="DC6" s="321"/>
      <c r="DD6" s="280" t="s">
        <v>173</v>
      </c>
      <c r="DE6" s="281">
        <v>206.85493</v>
      </c>
      <c r="DF6" s="291">
        <v>-2.1</v>
      </c>
      <c r="DG6" s="326"/>
      <c r="DH6" s="280" t="s">
        <v>159</v>
      </c>
      <c r="DI6" s="281">
        <v>191.33</v>
      </c>
      <c r="DJ6" s="291">
        <v>30.88</v>
      </c>
      <c r="DK6" s="329"/>
      <c r="DL6" s="280" t="s">
        <v>159</v>
      </c>
      <c r="DM6" s="281">
        <v>130.72</v>
      </c>
      <c r="DN6" s="291">
        <v>59.4</v>
      </c>
      <c r="DO6" s="333"/>
      <c r="DP6" s="280" t="s">
        <v>173</v>
      </c>
      <c r="DQ6" s="281">
        <v>0.5592</v>
      </c>
      <c r="DR6" s="291">
        <v>-76.71</v>
      </c>
      <c r="DS6" s="84"/>
      <c r="DT6" s="280" t="s">
        <v>173</v>
      </c>
      <c r="DU6" s="338">
        <v>27290</v>
      </c>
      <c r="DV6" s="339">
        <v>3.9</v>
      </c>
      <c r="DX6" s="280" t="s">
        <v>173</v>
      </c>
      <c r="DY6" s="342" t="s">
        <v>135</v>
      </c>
      <c r="DZ6" s="343" t="s">
        <v>135</v>
      </c>
    </row>
    <row r="7" s="68" customFormat="1" ht="13.5" customHeight="1" spans="1:130">
      <c r="A7" s="91"/>
      <c r="B7" s="88" t="s">
        <v>106</v>
      </c>
      <c r="C7" s="89" t="s">
        <v>135</v>
      </c>
      <c r="D7" s="90">
        <v>0.4</v>
      </c>
      <c r="E7" s="87"/>
      <c r="F7" s="111"/>
      <c r="G7" s="117" t="s">
        <v>174</v>
      </c>
      <c r="H7" s="86">
        <v>3792.46</v>
      </c>
      <c r="I7" s="102">
        <v>3.38467409971921</v>
      </c>
      <c r="J7" s="87" t="s">
        <v>118</v>
      </c>
      <c r="K7" s="111"/>
      <c r="L7" s="100" t="s">
        <v>175</v>
      </c>
      <c r="M7" s="89">
        <v>429</v>
      </c>
      <c r="N7" s="92">
        <v>5.8</v>
      </c>
      <c r="O7" s="87">
        <v>39.9813606710158</v>
      </c>
      <c r="P7" s="145"/>
      <c r="Q7" s="105" t="s">
        <v>176</v>
      </c>
      <c r="R7" s="105"/>
      <c r="S7" s="105"/>
      <c r="T7" s="87"/>
      <c r="U7" s="158" t="s">
        <v>177</v>
      </c>
      <c r="V7" s="89">
        <v>420</v>
      </c>
      <c r="W7" s="87">
        <v>85</v>
      </c>
      <c r="X7" s="108"/>
      <c r="Y7" s="108"/>
      <c r="Z7" s="100" t="s">
        <v>178</v>
      </c>
      <c r="AA7" s="92">
        <v>79.87169581</v>
      </c>
      <c r="AB7" s="92">
        <v>219.80818328</v>
      </c>
      <c r="AC7" s="87">
        <v>13.24</v>
      </c>
      <c r="AD7" s="87"/>
      <c r="AE7" s="100" t="s">
        <v>179</v>
      </c>
      <c r="AF7" s="89">
        <v>3082.32397</v>
      </c>
      <c r="AG7" s="87">
        <v>2.3</v>
      </c>
      <c r="AH7" s="87"/>
      <c r="AI7" s="78" t="s">
        <v>180</v>
      </c>
      <c r="AJ7" s="198">
        <v>2332.58231</v>
      </c>
      <c r="AK7" s="87">
        <v>7.9</v>
      </c>
      <c r="AL7" s="212"/>
      <c r="AM7" s="85" t="s">
        <v>181</v>
      </c>
      <c r="AN7" s="89">
        <v>3886</v>
      </c>
      <c r="AO7" s="90">
        <v>5.2</v>
      </c>
      <c r="AP7" s="87"/>
      <c r="AQ7" s="218" t="s">
        <v>182</v>
      </c>
      <c r="AR7" s="92">
        <v>75353.0143396619</v>
      </c>
      <c r="AS7" s="92">
        <v>6.98</v>
      </c>
      <c r="AT7" s="92">
        <v>2358.7813212725</v>
      </c>
      <c r="AU7" s="87">
        <v>1793.9781046188</v>
      </c>
      <c r="AV7" s="228"/>
      <c r="AW7" s="239" t="s">
        <v>183</v>
      </c>
      <c r="AX7" s="92">
        <v>103.9</v>
      </c>
      <c r="AY7" s="87">
        <v>6.14</v>
      </c>
      <c r="AZ7" s="111"/>
      <c r="BA7" s="100" t="s">
        <v>184</v>
      </c>
      <c r="BB7" s="92">
        <v>1.38763575</v>
      </c>
      <c r="BC7" s="92">
        <v>3.54517658</v>
      </c>
      <c r="BD7" s="87">
        <v>-12.0613922893</v>
      </c>
      <c r="BE7" s="87"/>
      <c r="BF7" s="85" t="s">
        <v>185</v>
      </c>
      <c r="BG7" s="184">
        <v>574.81</v>
      </c>
      <c r="BH7" s="87" t="s">
        <v>118</v>
      </c>
      <c r="BI7" s="272"/>
      <c r="BJ7" s="158" t="s">
        <v>186</v>
      </c>
      <c r="BK7" s="170">
        <v>99.99425212</v>
      </c>
      <c r="BL7" s="170">
        <v>100.3758312</v>
      </c>
      <c r="BM7" s="111">
        <v>100.35021255</v>
      </c>
      <c r="BO7" s="280" t="s">
        <v>159</v>
      </c>
      <c r="BP7" s="281">
        <v>747.434242210386</v>
      </c>
      <c r="BQ7" s="291">
        <v>4.65170512633163</v>
      </c>
      <c r="BR7" s="180"/>
      <c r="BS7" s="280" t="s">
        <v>159</v>
      </c>
      <c r="BT7" s="281">
        <v>563.225667536845</v>
      </c>
      <c r="BU7" s="291">
        <v>5.21549318764252</v>
      </c>
      <c r="BV7" s="290"/>
      <c r="BW7" s="280" t="s">
        <v>159</v>
      </c>
      <c r="BX7" s="281">
        <v>164.073929069</v>
      </c>
      <c r="BY7" s="291">
        <v>3.15295948343543</v>
      </c>
      <c r="BZ7" s="84"/>
      <c r="CA7" s="280" t="s">
        <v>173</v>
      </c>
      <c r="CB7" s="281">
        <v>19.88633</v>
      </c>
      <c r="CC7" s="281">
        <v>6.3</v>
      </c>
      <c r="CD7" s="291">
        <v>81.0589326385707</v>
      </c>
      <c r="CE7" s="282"/>
      <c r="CF7" s="280" t="s">
        <v>173</v>
      </c>
      <c r="CG7" s="281">
        <v>21.88674</v>
      </c>
      <c r="CH7" s="281">
        <v>7</v>
      </c>
      <c r="CI7" s="291">
        <v>89.2128302878365</v>
      </c>
      <c r="CJ7" s="282"/>
      <c r="CK7" s="280" t="s">
        <v>173</v>
      </c>
      <c r="CL7" s="281">
        <v>7.50449</v>
      </c>
      <c r="CM7" s="281">
        <v>7.2</v>
      </c>
      <c r="CN7" s="291">
        <v>30.5891509090329</v>
      </c>
      <c r="CO7" s="228"/>
      <c r="CP7" s="280" t="s">
        <v>187</v>
      </c>
      <c r="CQ7" s="281">
        <v>3.6697</v>
      </c>
      <c r="CR7" s="281">
        <v>-4.9</v>
      </c>
      <c r="CS7" s="313">
        <v>6.25875465842058</v>
      </c>
      <c r="CT7" s="314">
        <v>-0.324782343501565</v>
      </c>
      <c r="CU7" s="228"/>
      <c r="CV7" s="280" t="s">
        <v>173</v>
      </c>
      <c r="CW7" s="281">
        <v>-1.93105746221185</v>
      </c>
      <c r="CX7" s="291">
        <v>130.876540339456</v>
      </c>
      <c r="CY7" s="228"/>
      <c r="CZ7" s="280" t="s">
        <v>159</v>
      </c>
      <c r="DA7" s="281">
        <v>287.911120145246</v>
      </c>
      <c r="DB7" s="291">
        <v>6.448</v>
      </c>
      <c r="DC7" s="321"/>
      <c r="DD7" s="280" t="s">
        <v>187</v>
      </c>
      <c r="DE7" s="281">
        <v>511.5879</v>
      </c>
      <c r="DF7" s="291">
        <v>3.5</v>
      </c>
      <c r="DG7" s="326"/>
      <c r="DH7" s="280" t="s">
        <v>173</v>
      </c>
      <c r="DI7" s="281">
        <v>264.61</v>
      </c>
      <c r="DJ7" s="291">
        <v>-3.69</v>
      </c>
      <c r="DK7" s="329"/>
      <c r="DL7" s="280" t="s">
        <v>173</v>
      </c>
      <c r="DM7" s="281">
        <v>125.08</v>
      </c>
      <c r="DN7" s="291">
        <v>38.34</v>
      </c>
      <c r="DO7" s="333"/>
      <c r="DP7" s="280" t="s">
        <v>187</v>
      </c>
      <c r="DQ7" s="281">
        <v>1.0544</v>
      </c>
      <c r="DR7" s="291">
        <v>28.48</v>
      </c>
      <c r="DS7" s="84"/>
      <c r="DT7" s="280" t="s">
        <v>187</v>
      </c>
      <c r="DU7" s="338">
        <v>30457</v>
      </c>
      <c r="DV7" s="339">
        <v>4</v>
      </c>
      <c r="DX7" s="280" t="s">
        <v>187</v>
      </c>
      <c r="DY7" s="342" t="s">
        <v>135</v>
      </c>
      <c r="DZ7" s="343" t="s">
        <v>135</v>
      </c>
    </row>
    <row r="8" s="68" customFormat="1" ht="13.5" customHeight="1" spans="1:130">
      <c r="A8" s="91"/>
      <c r="B8" s="88" t="s">
        <v>188</v>
      </c>
      <c r="C8" s="92">
        <v>1470.50145648</v>
      </c>
      <c r="D8" s="93">
        <v>18.708</v>
      </c>
      <c r="E8" s="87"/>
      <c r="F8" s="111"/>
      <c r="G8" s="117" t="s">
        <v>189</v>
      </c>
      <c r="H8" s="86">
        <v>1212.92</v>
      </c>
      <c r="I8" s="102">
        <v>-13.2674513393304</v>
      </c>
      <c r="J8" s="87" t="s">
        <v>118</v>
      </c>
      <c r="K8" s="111"/>
      <c r="L8" s="100" t="s">
        <v>190</v>
      </c>
      <c r="M8" s="89">
        <v>318</v>
      </c>
      <c r="N8" s="92">
        <v>9.2</v>
      </c>
      <c r="O8" s="87">
        <v>29.6365330848089</v>
      </c>
      <c r="P8" s="145"/>
      <c r="Q8" s="74"/>
      <c r="R8" s="74"/>
      <c r="S8" s="74"/>
      <c r="T8" s="153"/>
      <c r="U8" s="159" t="s">
        <v>132</v>
      </c>
      <c r="V8" s="103">
        <v>194</v>
      </c>
      <c r="W8" s="120">
        <v>38.1</v>
      </c>
      <c r="X8" s="108"/>
      <c r="Y8" s="108"/>
      <c r="Z8" s="100" t="s">
        <v>191</v>
      </c>
      <c r="AA8" s="92">
        <v>400.02124291</v>
      </c>
      <c r="AB8" s="92">
        <v>1114.77520379</v>
      </c>
      <c r="AC8" s="87">
        <v>19.3266924070729</v>
      </c>
      <c r="AD8" s="87"/>
      <c r="AE8" s="100" t="s">
        <v>192</v>
      </c>
      <c r="AF8" s="89">
        <v>2473.95395</v>
      </c>
      <c r="AG8" s="87">
        <v>3.1</v>
      </c>
      <c r="AH8" s="199"/>
      <c r="AI8" s="78" t="s">
        <v>193</v>
      </c>
      <c r="AJ8" s="198">
        <v>363.87007</v>
      </c>
      <c r="AK8" s="87">
        <v>2.1</v>
      </c>
      <c r="AL8" s="87"/>
      <c r="AM8" s="85" t="s">
        <v>194</v>
      </c>
      <c r="AN8" s="89">
        <v>14060</v>
      </c>
      <c r="AO8" s="90">
        <v>5.2</v>
      </c>
      <c r="AP8" s="111"/>
      <c r="AQ8" s="218" t="s">
        <v>195</v>
      </c>
      <c r="AR8" s="92">
        <v>26183.5087952778</v>
      </c>
      <c r="AS8" s="92">
        <v>2.01</v>
      </c>
      <c r="AT8" s="92">
        <v>-351.5293258265</v>
      </c>
      <c r="AU8" s="87">
        <v>-353.8545285188</v>
      </c>
      <c r="AV8" s="87"/>
      <c r="AW8" s="239" t="s">
        <v>155</v>
      </c>
      <c r="AX8" s="92">
        <v>99.92</v>
      </c>
      <c r="AY8" s="87">
        <v>7.75</v>
      </c>
      <c r="AZ8" s="241"/>
      <c r="BA8" s="100" t="s">
        <v>196</v>
      </c>
      <c r="BB8" s="92">
        <v>29.03190531</v>
      </c>
      <c r="BC8" s="92">
        <v>86.37745815</v>
      </c>
      <c r="BD8" s="87">
        <v>5.7619472514</v>
      </c>
      <c r="BE8" s="87"/>
      <c r="BF8" s="160" t="s">
        <v>197</v>
      </c>
      <c r="BG8" s="260">
        <v>6.4</v>
      </c>
      <c r="BH8" s="261" t="s">
        <v>118</v>
      </c>
      <c r="BI8" s="87"/>
      <c r="BJ8" s="158" t="s">
        <v>198</v>
      </c>
      <c r="BK8" s="170">
        <v>100.66424474</v>
      </c>
      <c r="BL8" s="170">
        <v>99.76169314</v>
      </c>
      <c r="BM8" s="111">
        <v>98.90169145</v>
      </c>
      <c r="BN8" s="282"/>
      <c r="BO8" s="280" t="s">
        <v>173</v>
      </c>
      <c r="BP8" s="281">
        <v>561.781956723166</v>
      </c>
      <c r="BQ8" s="291">
        <v>4.56367266644786</v>
      </c>
      <c r="BR8" s="180"/>
      <c r="BS8" s="280" t="s">
        <v>173</v>
      </c>
      <c r="BT8" s="281">
        <v>523.134646647812</v>
      </c>
      <c r="BU8" s="291">
        <v>4.53430427371551</v>
      </c>
      <c r="BV8" s="282"/>
      <c r="BW8" s="280" t="s">
        <v>173</v>
      </c>
      <c r="BX8" s="281">
        <v>24.53317525</v>
      </c>
      <c r="BY8" s="291">
        <v>9.06448188747952</v>
      </c>
      <c r="BZ8" s="282"/>
      <c r="CA8" s="280" t="s">
        <v>187</v>
      </c>
      <c r="CB8" s="281">
        <v>12.57636</v>
      </c>
      <c r="CC8" s="281">
        <v>5.2</v>
      </c>
      <c r="CD8" s="291">
        <v>54.2493482765582</v>
      </c>
      <c r="CE8" s="282"/>
      <c r="CF8" s="280" t="s">
        <v>187</v>
      </c>
      <c r="CG8" s="281">
        <v>19.54468</v>
      </c>
      <c r="CH8" s="281">
        <v>-0.1</v>
      </c>
      <c r="CI8" s="291">
        <v>84.3078722518981</v>
      </c>
      <c r="CJ8" s="282"/>
      <c r="CK8" s="280" t="s">
        <v>187</v>
      </c>
      <c r="CL8" s="281">
        <v>14.44259</v>
      </c>
      <c r="CM8" s="281">
        <v>10.4</v>
      </c>
      <c r="CN8" s="291">
        <v>62.2995123331024</v>
      </c>
      <c r="CO8" s="282"/>
      <c r="CP8" s="280" t="s">
        <v>199</v>
      </c>
      <c r="CQ8" s="281">
        <v>41.65641</v>
      </c>
      <c r="CR8" s="281">
        <v>4.4</v>
      </c>
      <c r="CS8" s="313">
        <v>7.88602981683524</v>
      </c>
      <c r="CT8" s="314">
        <v>-0.931165776926239</v>
      </c>
      <c r="CU8" s="282"/>
      <c r="CV8" s="280" t="s">
        <v>187</v>
      </c>
      <c r="CW8" s="281">
        <v>4.06968024764944</v>
      </c>
      <c r="CX8" s="291">
        <v>-15.3063748810657</v>
      </c>
      <c r="CY8" s="282"/>
      <c r="CZ8" s="280" t="s">
        <v>173</v>
      </c>
      <c r="DA8" s="281">
        <v>368.881742456684</v>
      </c>
      <c r="DB8" s="291">
        <v>4.771</v>
      </c>
      <c r="DC8" s="322"/>
      <c r="DD8" s="280" t="s">
        <v>199</v>
      </c>
      <c r="DE8" s="281">
        <v>553.6577</v>
      </c>
      <c r="DF8" s="291">
        <v>7.6</v>
      </c>
      <c r="DG8" s="291"/>
      <c r="DH8" s="280" t="s">
        <v>187</v>
      </c>
      <c r="DI8" s="281">
        <v>100.38</v>
      </c>
      <c r="DJ8" s="291">
        <v>20.54</v>
      </c>
      <c r="DK8" s="291"/>
      <c r="DL8" s="280" t="s">
        <v>187</v>
      </c>
      <c r="DM8" s="281">
        <v>83.37</v>
      </c>
      <c r="DN8" s="291">
        <v>15.73</v>
      </c>
      <c r="DO8" s="291"/>
      <c r="DP8" s="280" t="s">
        <v>199</v>
      </c>
      <c r="DQ8" s="281">
        <v>4.4277</v>
      </c>
      <c r="DR8" s="291">
        <v>-33.64</v>
      </c>
      <c r="DT8" s="280" t="s">
        <v>199</v>
      </c>
      <c r="DU8" s="338">
        <v>28979</v>
      </c>
      <c r="DV8" s="339">
        <v>3.8</v>
      </c>
      <c r="DX8" s="280" t="s">
        <v>199</v>
      </c>
      <c r="DY8" s="342" t="s">
        <v>135</v>
      </c>
      <c r="DZ8" s="343" t="s">
        <v>135</v>
      </c>
    </row>
    <row r="9" s="68" customFormat="1" ht="13.5" customHeight="1" spans="1:130">
      <c r="A9" s="91"/>
      <c r="B9" s="94" t="s">
        <v>200</v>
      </c>
      <c r="C9" s="95">
        <v>4.25021319222327</v>
      </c>
      <c r="D9" s="96" t="s">
        <v>201</v>
      </c>
      <c r="E9" s="87"/>
      <c r="F9" s="111"/>
      <c r="G9" s="117" t="s">
        <v>202</v>
      </c>
      <c r="H9" s="86">
        <v>819.01</v>
      </c>
      <c r="I9" s="102">
        <v>4.72871884710306</v>
      </c>
      <c r="J9" s="87" t="s">
        <v>118</v>
      </c>
      <c r="K9" s="111"/>
      <c r="L9" s="130" t="s">
        <v>203</v>
      </c>
      <c r="M9" s="103">
        <v>326</v>
      </c>
      <c r="N9" s="104">
        <v>6.3</v>
      </c>
      <c r="O9" s="146">
        <v>30.3821062441752</v>
      </c>
      <c r="P9" s="145"/>
      <c r="Q9" s="74"/>
      <c r="R9" s="74"/>
      <c r="S9" s="74"/>
      <c r="T9" s="153"/>
      <c r="U9" s="100" t="s">
        <v>204</v>
      </c>
      <c r="V9" s="89">
        <v>222.11</v>
      </c>
      <c r="W9" s="87">
        <v>-6.49</v>
      </c>
      <c r="X9" s="87"/>
      <c r="Y9" s="108"/>
      <c r="Z9" s="100" t="s">
        <v>205</v>
      </c>
      <c r="AA9" s="92">
        <v>77.80996249</v>
      </c>
      <c r="AB9" s="92">
        <v>244.35056188</v>
      </c>
      <c r="AC9" s="87">
        <v>15.239</v>
      </c>
      <c r="AD9" s="87"/>
      <c r="AE9" s="183" t="s">
        <v>206</v>
      </c>
      <c r="AF9" s="89">
        <v>305.55392</v>
      </c>
      <c r="AG9" s="87">
        <v>1.9</v>
      </c>
      <c r="AH9" s="199"/>
      <c r="AI9" s="78" t="s">
        <v>207</v>
      </c>
      <c r="AJ9" s="198">
        <v>2038.12821</v>
      </c>
      <c r="AK9" s="87">
        <v>11.1</v>
      </c>
      <c r="AL9" s="87"/>
      <c r="AM9" s="158" t="s">
        <v>115</v>
      </c>
      <c r="AN9" s="89">
        <v>27272</v>
      </c>
      <c r="AO9" s="90">
        <v>4.1</v>
      </c>
      <c r="AP9" s="111"/>
      <c r="AQ9" s="158" t="s">
        <v>208</v>
      </c>
      <c r="AR9" s="92">
        <v>7746.1053488516</v>
      </c>
      <c r="AS9" s="92">
        <v>-3.29</v>
      </c>
      <c r="AT9" s="92">
        <v>-495.6394582957</v>
      </c>
      <c r="AU9" s="87">
        <v>-332.6518442546</v>
      </c>
      <c r="AV9" s="87"/>
      <c r="AW9" s="242" t="s">
        <v>209</v>
      </c>
      <c r="AX9" s="243">
        <v>3.7595</v>
      </c>
      <c r="AY9" s="134" t="s">
        <v>118</v>
      </c>
      <c r="AZ9" s="241"/>
      <c r="BA9" s="160" t="s">
        <v>210</v>
      </c>
      <c r="BB9" s="148">
        <v>15.90593066</v>
      </c>
      <c r="BC9" s="148">
        <v>54.87496172</v>
      </c>
      <c r="BD9" s="134">
        <v>3.4674880678</v>
      </c>
      <c r="BE9" s="108"/>
      <c r="BF9" s="244"/>
      <c r="BG9" s="244"/>
      <c r="BI9" s="87"/>
      <c r="BJ9" s="158" t="s">
        <v>211</v>
      </c>
      <c r="BK9" s="170">
        <v>99.49740074</v>
      </c>
      <c r="BL9" s="170">
        <v>96.29041668</v>
      </c>
      <c r="BM9" s="111">
        <v>96.43085929</v>
      </c>
      <c r="BN9" s="282"/>
      <c r="BO9" s="280" t="s">
        <v>187</v>
      </c>
      <c r="BP9" s="281">
        <v>577.791804015743</v>
      </c>
      <c r="BQ9" s="291">
        <v>3.96312563244766</v>
      </c>
      <c r="BR9" s="180"/>
      <c r="BS9" s="280" t="s">
        <v>187</v>
      </c>
      <c r="BT9" s="281">
        <v>538.994106843019</v>
      </c>
      <c r="BU9" s="291">
        <v>3.65513418615973</v>
      </c>
      <c r="BV9" s="282"/>
      <c r="BW9" s="280" t="s">
        <v>187</v>
      </c>
      <c r="BX9" s="281">
        <v>23.182508914</v>
      </c>
      <c r="BY9" s="291">
        <v>4.62524043676541</v>
      </c>
      <c r="BZ9" s="282"/>
      <c r="CA9" s="280" t="s">
        <v>199</v>
      </c>
      <c r="CB9" s="281">
        <v>159.08693</v>
      </c>
      <c r="CC9" s="281">
        <v>15.7</v>
      </c>
      <c r="CD9" s="291">
        <v>78.5964393462858</v>
      </c>
      <c r="CE9" s="282"/>
      <c r="CF9" s="280" t="s">
        <v>199</v>
      </c>
      <c r="CG9" s="281">
        <v>193.59738</v>
      </c>
      <c r="CH9" s="281">
        <v>17.1</v>
      </c>
      <c r="CI9" s="291">
        <v>95.646227724489</v>
      </c>
      <c r="CJ9" s="282"/>
      <c r="CK9" s="280" t="s">
        <v>199</v>
      </c>
      <c r="CL9" s="281">
        <v>185.5858</v>
      </c>
      <c r="CM9" s="281">
        <v>18.4</v>
      </c>
      <c r="CN9" s="291">
        <v>91.6881297114221</v>
      </c>
      <c r="CO9" s="282"/>
      <c r="CP9" s="280" t="s">
        <v>212</v>
      </c>
      <c r="CQ9" s="281">
        <v>18.33917</v>
      </c>
      <c r="CR9" s="281">
        <v>13.6</v>
      </c>
      <c r="CS9" s="313">
        <v>3.25434528437779</v>
      </c>
      <c r="CT9" s="314">
        <v>0.412712754087139</v>
      </c>
      <c r="CU9" s="282"/>
      <c r="CV9" s="280" t="s">
        <v>199</v>
      </c>
      <c r="CW9" s="281">
        <v>0.119203391604742</v>
      </c>
      <c r="CX9" s="291">
        <v>67.3343233710785</v>
      </c>
      <c r="CY9" s="282"/>
      <c r="CZ9" s="280" t="s">
        <v>187</v>
      </c>
      <c r="DA9" s="281">
        <v>249.17841987365</v>
      </c>
      <c r="DB9" s="291">
        <v>-1.043</v>
      </c>
      <c r="DC9" s="322"/>
      <c r="DD9" s="280" t="s">
        <v>212</v>
      </c>
      <c r="DE9" s="281">
        <v>184.91121</v>
      </c>
      <c r="DF9" s="291">
        <v>-12.4</v>
      </c>
      <c r="DG9" s="291"/>
      <c r="DH9" s="280" t="s">
        <v>199</v>
      </c>
      <c r="DI9" s="281">
        <v>273.22</v>
      </c>
      <c r="DJ9" s="291">
        <v>28.49</v>
      </c>
      <c r="DK9" s="291"/>
      <c r="DL9" s="280" t="s">
        <v>199</v>
      </c>
      <c r="DM9" s="281">
        <v>184.69</v>
      </c>
      <c r="DN9" s="291">
        <v>10.93</v>
      </c>
      <c r="DO9" s="291"/>
      <c r="DP9" s="280" t="s">
        <v>212</v>
      </c>
      <c r="DQ9" s="281">
        <v>0.8103</v>
      </c>
      <c r="DR9" s="291">
        <v>-86</v>
      </c>
      <c r="DT9" s="280" t="s">
        <v>212</v>
      </c>
      <c r="DU9" s="338">
        <v>32854</v>
      </c>
      <c r="DV9" s="339">
        <v>4.4</v>
      </c>
      <c r="DX9" s="280" t="s">
        <v>212</v>
      </c>
      <c r="DY9" s="338">
        <v>20827</v>
      </c>
      <c r="DZ9" s="339">
        <v>5.8</v>
      </c>
    </row>
    <row r="10" s="68" customFormat="1" ht="20.25" customHeight="1" spans="1:130">
      <c r="A10" s="91"/>
      <c r="B10" s="73"/>
      <c r="C10" s="74"/>
      <c r="D10" s="74"/>
      <c r="E10" s="74"/>
      <c r="F10" s="111"/>
      <c r="G10" s="117" t="s">
        <v>213</v>
      </c>
      <c r="H10" s="86">
        <v>776.73</v>
      </c>
      <c r="I10" s="102">
        <v>-1.88467125623697</v>
      </c>
      <c r="J10" s="87" t="s">
        <v>118</v>
      </c>
      <c r="K10" s="111"/>
      <c r="L10" s="100" t="s">
        <v>214</v>
      </c>
      <c r="M10" s="89">
        <v>284.91889</v>
      </c>
      <c r="N10" s="92">
        <v>14.7</v>
      </c>
      <c r="O10" s="145">
        <v>26.5492292465705</v>
      </c>
      <c r="P10" s="145"/>
      <c r="Q10" s="79" t="s">
        <v>106</v>
      </c>
      <c r="R10" s="79"/>
      <c r="S10" s="79"/>
      <c r="T10" s="153"/>
      <c r="U10" s="158" t="s">
        <v>132</v>
      </c>
      <c r="V10" s="89">
        <v>167.37</v>
      </c>
      <c r="W10" s="87">
        <v>2.58</v>
      </c>
      <c r="X10" s="87"/>
      <c r="Y10" s="108"/>
      <c r="Z10" s="100" t="s">
        <v>215</v>
      </c>
      <c r="AA10" s="92">
        <v>92.40341676</v>
      </c>
      <c r="AB10" s="92">
        <v>267.88292085</v>
      </c>
      <c r="AC10" s="87">
        <v>13.794</v>
      </c>
      <c r="AD10" s="87"/>
      <c r="AE10" s="100" t="s">
        <v>216</v>
      </c>
      <c r="AF10" s="89">
        <v>117.94921</v>
      </c>
      <c r="AG10" s="87">
        <v>-0.4</v>
      </c>
      <c r="AH10" s="199"/>
      <c r="AI10" s="78" t="s">
        <v>217</v>
      </c>
      <c r="AJ10" s="198">
        <v>438.08333</v>
      </c>
      <c r="AK10" s="87">
        <v>-1.2</v>
      </c>
      <c r="AL10" s="87"/>
      <c r="AM10" s="85" t="s">
        <v>137</v>
      </c>
      <c r="AN10" s="89">
        <v>16929</v>
      </c>
      <c r="AO10" s="90">
        <v>4</v>
      </c>
      <c r="AP10" s="111"/>
      <c r="AQ10" s="158" t="s">
        <v>218</v>
      </c>
      <c r="AR10" s="92">
        <v>18437.4034464262</v>
      </c>
      <c r="AS10" s="92">
        <v>4.41</v>
      </c>
      <c r="AT10" s="92">
        <v>144.1101324692</v>
      </c>
      <c r="AU10" s="87">
        <v>-21.2026842642</v>
      </c>
      <c r="AV10" s="87"/>
      <c r="AW10" s="244"/>
      <c r="AX10" s="244"/>
      <c r="AY10" s="231"/>
      <c r="AZ10" s="241"/>
      <c r="BA10" s="161"/>
      <c r="BB10" s="161"/>
      <c r="BC10" s="161"/>
      <c r="BD10" s="108"/>
      <c r="BE10" s="73"/>
      <c r="BF10" s="220"/>
      <c r="BG10" s="161"/>
      <c r="BH10" s="161"/>
      <c r="BI10" s="87"/>
      <c r="BJ10" s="158" t="s">
        <v>219</v>
      </c>
      <c r="BK10" s="170">
        <v>99.40233443</v>
      </c>
      <c r="BL10" s="170">
        <v>100.22534069</v>
      </c>
      <c r="BM10" s="111">
        <v>99.90916128</v>
      </c>
      <c r="BN10" s="282"/>
      <c r="BO10" s="280" t="s">
        <v>199</v>
      </c>
      <c r="BP10" s="281">
        <v>774.977458815191</v>
      </c>
      <c r="BQ10" s="291">
        <v>6.95559121272207</v>
      </c>
      <c r="BR10" s="180"/>
      <c r="BS10" s="280" t="s">
        <v>199</v>
      </c>
      <c r="BT10" s="281">
        <v>564.487587064127</v>
      </c>
      <c r="BU10" s="291">
        <v>5.16866152287515</v>
      </c>
      <c r="BV10" s="282"/>
      <c r="BW10" s="280" t="s">
        <v>199</v>
      </c>
      <c r="BX10" s="281">
        <v>202.409843656</v>
      </c>
      <c r="BY10" s="291">
        <v>16.9628551403514</v>
      </c>
      <c r="BZ10" s="282"/>
      <c r="CA10" s="280" t="s">
        <v>212</v>
      </c>
      <c r="CB10" s="281">
        <v>51.50966</v>
      </c>
      <c r="CC10" s="281">
        <v>7.8</v>
      </c>
      <c r="CD10" s="291">
        <v>34.5878923716573</v>
      </c>
      <c r="CE10" s="282"/>
      <c r="CF10" s="280" t="s">
        <v>212</v>
      </c>
      <c r="CG10" s="281">
        <v>106.22701</v>
      </c>
      <c r="CH10" s="281">
        <v>7.7</v>
      </c>
      <c r="CI10" s="291">
        <v>71.3296959996039</v>
      </c>
      <c r="CJ10" s="282"/>
      <c r="CK10" s="280" t="s">
        <v>212</v>
      </c>
      <c r="CL10" s="281">
        <v>69.41538</v>
      </c>
      <c r="CM10" s="281">
        <v>9.7</v>
      </c>
      <c r="CN10" s="291">
        <v>46.6112898508297</v>
      </c>
      <c r="CO10" s="282"/>
      <c r="CP10" s="280" t="s">
        <v>220</v>
      </c>
      <c r="CQ10" s="281">
        <v>9.11731</v>
      </c>
      <c r="CR10" s="281">
        <v>-0.6</v>
      </c>
      <c r="CS10" s="313">
        <v>5.78509187399576</v>
      </c>
      <c r="CT10" s="314">
        <v>-0.264881770878267</v>
      </c>
      <c r="CU10" s="282"/>
      <c r="CV10" s="280" t="s">
        <v>212</v>
      </c>
      <c r="CW10" s="281">
        <v>-0.0270101070077828</v>
      </c>
      <c r="CX10" s="291">
        <v>28.7784121983768</v>
      </c>
      <c r="CY10" s="282"/>
      <c r="CZ10" s="280" t="s">
        <v>199</v>
      </c>
      <c r="DA10" s="281">
        <v>152.709985318602</v>
      </c>
      <c r="DB10" s="291">
        <v>6.166</v>
      </c>
      <c r="DC10" s="322"/>
      <c r="DD10" s="280" t="s">
        <v>220</v>
      </c>
      <c r="DE10" s="281">
        <v>1357.30459</v>
      </c>
      <c r="DF10" s="291">
        <v>10.1</v>
      </c>
      <c r="DG10" s="291"/>
      <c r="DH10" s="280" t="s">
        <v>212</v>
      </c>
      <c r="DI10" s="281">
        <v>311.42</v>
      </c>
      <c r="DJ10" s="291">
        <v>-0.09</v>
      </c>
      <c r="DK10" s="291"/>
      <c r="DL10" s="280" t="s">
        <v>212</v>
      </c>
      <c r="DM10" s="281">
        <v>254.75</v>
      </c>
      <c r="DN10" s="291">
        <v>4.62</v>
      </c>
      <c r="DO10" s="291"/>
      <c r="DP10" s="280" t="s">
        <v>220</v>
      </c>
      <c r="DQ10" s="281">
        <v>0.5405</v>
      </c>
      <c r="DR10" s="291">
        <v>506.62</v>
      </c>
      <c r="DT10" s="280" t="s">
        <v>220</v>
      </c>
      <c r="DU10" s="338">
        <v>28373</v>
      </c>
      <c r="DV10" s="339">
        <v>4</v>
      </c>
      <c r="DX10" s="280" t="s">
        <v>220</v>
      </c>
      <c r="DY10" s="338">
        <v>20829</v>
      </c>
      <c r="DZ10" s="339">
        <v>5.2</v>
      </c>
    </row>
    <row r="11" s="68" customFormat="1" ht="21.75" customHeight="1" spans="1:130">
      <c r="A11" s="91"/>
      <c r="B11" s="79" t="s">
        <v>221</v>
      </c>
      <c r="C11" s="79"/>
      <c r="D11" s="79"/>
      <c r="E11" s="79"/>
      <c r="F11" s="111"/>
      <c r="G11" s="117" t="s">
        <v>222</v>
      </c>
      <c r="H11" s="86">
        <v>7475.46</v>
      </c>
      <c r="I11" s="102">
        <v>11.4175464012484</v>
      </c>
      <c r="J11" s="87" t="s">
        <v>118</v>
      </c>
      <c r="K11" s="111"/>
      <c r="L11" s="100" t="s">
        <v>223</v>
      </c>
      <c r="M11" s="89">
        <v>132.57906</v>
      </c>
      <c r="N11" s="92">
        <v>8.8</v>
      </c>
      <c r="O11" s="87">
        <v>12.353943458206</v>
      </c>
      <c r="P11" s="145"/>
      <c r="Q11" s="81" t="s">
        <v>75</v>
      </c>
      <c r="R11" s="82" t="s">
        <v>76</v>
      </c>
      <c r="S11" s="83" t="s">
        <v>77</v>
      </c>
      <c r="T11" s="153"/>
      <c r="U11" s="158" t="s">
        <v>224</v>
      </c>
      <c r="V11" s="89">
        <v>606.79</v>
      </c>
      <c r="W11" s="87">
        <v>-0.65</v>
      </c>
      <c r="X11" s="87"/>
      <c r="Y11" s="108"/>
      <c r="Z11" s="100" t="s">
        <v>225</v>
      </c>
      <c r="AA11" s="92">
        <v>266.02636857</v>
      </c>
      <c r="AB11" s="92">
        <v>711.91753844</v>
      </c>
      <c r="AC11" s="87">
        <v>23.728</v>
      </c>
      <c r="AD11" s="87"/>
      <c r="AE11" s="100" t="s">
        <v>226</v>
      </c>
      <c r="AF11" s="89">
        <v>86.95336</v>
      </c>
      <c r="AG11" s="87">
        <v>-1.3</v>
      </c>
      <c r="AH11" s="199"/>
      <c r="AI11" s="136" t="s">
        <v>227</v>
      </c>
      <c r="AJ11" s="198">
        <v>276.03357</v>
      </c>
      <c r="AK11" s="87">
        <v>-10.7</v>
      </c>
      <c r="AL11" s="87"/>
      <c r="AM11" s="85" t="s">
        <v>153</v>
      </c>
      <c r="AN11" s="89">
        <v>1956</v>
      </c>
      <c r="AO11" s="90">
        <v>3.6</v>
      </c>
      <c r="AP11" s="111"/>
      <c r="AQ11" s="183" t="s">
        <v>228</v>
      </c>
      <c r="AR11" s="92">
        <v>48509.1005373258</v>
      </c>
      <c r="AS11" s="92">
        <v>9.22</v>
      </c>
      <c r="AT11" s="92">
        <v>2591.0264917026</v>
      </c>
      <c r="AU11" s="87">
        <v>2172.8081072623</v>
      </c>
      <c r="AV11" s="87"/>
      <c r="AW11" s="78"/>
      <c r="AX11" s="228"/>
      <c r="AY11" s="228"/>
      <c r="AZ11" s="241"/>
      <c r="BA11" s="162" t="s">
        <v>229</v>
      </c>
      <c r="BB11" s="162"/>
      <c r="BC11" s="162"/>
      <c r="BD11" s="73"/>
      <c r="BE11" s="73"/>
      <c r="BF11" s="162" t="s">
        <v>230</v>
      </c>
      <c r="BG11" s="162"/>
      <c r="BH11" s="162"/>
      <c r="BI11" s="87"/>
      <c r="BJ11" s="158" t="s">
        <v>231</v>
      </c>
      <c r="BK11" s="170">
        <v>99.97430911</v>
      </c>
      <c r="BL11" s="170">
        <v>99.54726348</v>
      </c>
      <c r="BM11" s="111">
        <v>99.56402763</v>
      </c>
      <c r="BN11" s="282"/>
      <c r="BO11" s="280" t="s">
        <v>212</v>
      </c>
      <c r="BP11" s="281">
        <v>593.84852610096</v>
      </c>
      <c r="BQ11" s="291">
        <v>4.0629262029311</v>
      </c>
      <c r="BR11" s="180"/>
      <c r="BS11" s="280" t="s">
        <v>212</v>
      </c>
      <c r="BT11" s="281">
        <v>388.554133735204</v>
      </c>
      <c r="BU11" s="291">
        <v>3.31197728194768</v>
      </c>
      <c r="BV11" s="282"/>
      <c r="BW11" s="280" t="s">
        <v>212</v>
      </c>
      <c r="BX11" s="281">
        <v>148.92396289</v>
      </c>
      <c r="BY11" s="291">
        <v>6.28960051130633</v>
      </c>
      <c r="BZ11" s="282"/>
      <c r="CA11" s="280" t="s">
        <v>220</v>
      </c>
      <c r="CB11" s="281">
        <v>31.96984</v>
      </c>
      <c r="CC11" s="281">
        <v>7.8</v>
      </c>
      <c r="CD11" s="291">
        <v>51.8565566199656</v>
      </c>
      <c r="CE11" s="282"/>
      <c r="CF11" s="280" t="s">
        <v>220</v>
      </c>
      <c r="CG11" s="281">
        <v>52.18639</v>
      </c>
      <c r="CH11" s="281">
        <v>6.1</v>
      </c>
      <c r="CI11" s="291">
        <v>84.6487341765428</v>
      </c>
      <c r="CJ11" s="282"/>
      <c r="CK11" s="280" t="s">
        <v>220</v>
      </c>
      <c r="CL11" s="281">
        <v>43.48126</v>
      </c>
      <c r="CM11" s="281">
        <v>8.1</v>
      </c>
      <c r="CN11" s="291">
        <v>70.5286113755166</v>
      </c>
      <c r="CO11" s="282"/>
      <c r="CP11" s="280" t="s">
        <v>232</v>
      </c>
      <c r="CQ11" s="281">
        <v>10.35918</v>
      </c>
      <c r="CR11" s="281">
        <v>7.7</v>
      </c>
      <c r="CS11" s="313">
        <v>4.26600709086268</v>
      </c>
      <c r="CT11" s="314">
        <v>0.282955868003089</v>
      </c>
      <c r="CU11" s="282"/>
      <c r="CV11" s="280" t="s">
        <v>220</v>
      </c>
      <c r="CW11" s="281">
        <v>3.45652578907459</v>
      </c>
      <c r="CX11" s="291">
        <v>14.6281414533285</v>
      </c>
      <c r="CY11" s="282"/>
      <c r="CZ11" s="280" t="s">
        <v>212</v>
      </c>
      <c r="DA11" s="281">
        <v>237.192553513898</v>
      </c>
      <c r="DB11" s="291">
        <v>1.176</v>
      </c>
      <c r="DC11" s="322"/>
      <c r="DD11" s="280" t="s">
        <v>232</v>
      </c>
      <c r="DE11" s="281">
        <v>56.97779</v>
      </c>
      <c r="DF11" s="291">
        <v>9.3</v>
      </c>
      <c r="DG11" s="291"/>
      <c r="DH11" s="280" t="s">
        <v>220</v>
      </c>
      <c r="DI11" s="281">
        <v>159.26</v>
      </c>
      <c r="DJ11" s="291">
        <v>37.96</v>
      </c>
      <c r="DK11" s="291"/>
      <c r="DL11" s="280" t="s">
        <v>220</v>
      </c>
      <c r="DM11" s="281">
        <v>149.31</v>
      </c>
      <c r="DN11" s="291">
        <v>37.63</v>
      </c>
      <c r="DO11" s="291"/>
      <c r="DP11" s="280" t="s">
        <v>232</v>
      </c>
      <c r="DQ11" s="281">
        <v>0.1363</v>
      </c>
      <c r="DR11" s="291">
        <v>-83.12</v>
      </c>
      <c r="DT11" s="280" t="s">
        <v>232</v>
      </c>
      <c r="DU11" s="338">
        <v>28240</v>
      </c>
      <c r="DV11" s="339">
        <v>4.8</v>
      </c>
      <c r="DX11" s="280" t="s">
        <v>232</v>
      </c>
      <c r="DY11" s="338">
        <v>17577</v>
      </c>
      <c r="DZ11" s="339">
        <v>4.8</v>
      </c>
    </row>
    <row r="12" s="68" customFormat="1" ht="13.5" customHeight="1" spans="1:130">
      <c r="A12" s="91"/>
      <c r="B12" s="81" t="s">
        <v>75</v>
      </c>
      <c r="C12" s="82" t="s">
        <v>76</v>
      </c>
      <c r="D12" s="83" t="s">
        <v>77</v>
      </c>
      <c r="E12" s="118" t="s">
        <v>79</v>
      </c>
      <c r="F12" s="111"/>
      <c r="G12" s="117" t="s">
        <v>233</v>
      </c>
      <c r="H12" s="86">
        <v>6228.64</v>
      </c>
      <c r="I12" s="102">
        <v>3.95100051736512</v>
      </c>
      <c r="J12" s="87" t="s">
        <v>118</v>
      </c>
      <c r="K12" s="111"/>
      <c r="L12" s="100" t="s">
        <v>234</v>
      </c>
      <c r="M12" s="89">
        <v>75.99196</v>
      </c>
      <c r="N12" s="92">
        <v>0.6</v>
      </c>
      <c r="O12" s="87">
        <v>7.08106074306346</v>
      </c>
      <c r="P12" s="145"/>
      <c r="Q12" s="100" t="s">
        <v>106</v>
      </c>
      <c r="R12" s="154" t="s">
        <v>118</v>
      </c>
      <c r="S12" s="87">
        <v>0.4</v>
      </c>
      <c r="T12" s="153"/>
      <c r="U12" s="158" t="s">
        <v>132</v>
      </c>
      <c r="V12" s="89">
        <v>506.93</v>
      </c>
      <c r="W12" s="87">
        <v>4.76</v>
      </c>
      <c r="X12" s="87"/>
      <c r="Y12" s="108"/>
      <c r="Z12" s="100" t="s">
        <v>235</v>
      </c>
      <c r="AA12" s="92" t="s">
        <v>118</v>
      </c>
      <c r="AB12" s="92">
        <v>218.72</v>
      </c>
      <c r="AC12" s="87">
        <v>26.87</v>
      </c>
      <c r="AD12" s="87"/>
      <c r="AE12" s="100" t="s">
        <v>236</v>
      </c>
      <c r="AF12" s="184">
        <v>46.06</v>
      </c>
      <c r="AG12" s="87" t="s">
        <v>237</v>
      </c>
      <c r="AH12" s="199"/>
      <c r="AI12" s="78" t="s">
        <v>238</v>
      </c>
      <c r="AJ12" s="198">
        <v>16.90555</v>
      </c>
      <c r="AK12" s="87">
        <v>-6.6</v>
      </c>
      <c r="AL12" s="87"/>
      <c r="AM12" s="85" t="s">
        <v>166</v>
      </c>
      <c r="AN12" s="89">
        <v>4024</v>
      </c>
      <c r="AO12" s="90">
        <v>4.2</v>
      </c>
      <c r="AP12" s="111"/>
      <c r="AQ12" s="158" t="s">
        <v>208</v>
      </c>
      <c r="AR12" s="92">
        <v>14270.5803291701</v>
      </c>
      <c r="AS12" s="92">
        <v>9.85</v>
      </c>
      <c r="AT12" s="92">
        <v>1135.4060198495</v>
      </c>
      <c r="AU12" s="87">
        <v>920.3455963214</v>
      </c>
      <c r="AV12" s="87"/>
      <c r="AW12" s="162" t="s">
        <v>239</v>
      </c>
      <c r="AX12" s="162"/>
      <c r="AY12" s="162"/>
      <c r="AZ12" s="241"/>
      <c r="BA12" s="215" t="s">
        <v>75</v>
      </c>
      <c r="BB12" s="82" t="s">
        <v>240</v>
      </c>
      <c r="BC12" s="83" t="s">
        <v>77</v>
      </c>
      <c r="BD12" s="73"/>
      <c r="BE12" s="73"/>
      <c r="BF12" s="215" t="s">
        <v>75</v>
      </c>
      <c r="BG12" s="82" t="s">
        <v>89</v>
      </c>
      <c r="BH12" s="83" t="s">
        <v>77</v>
      </c>
      <c r="BI12" s="87"/>
      <c r="BJ12" s="158" t="s">
        <v>241</v>
      </c>
      <c r="BK12" s="170">
        <v>100.91086095</v>
      </c>
      <c r="BL12" s="170">
        <v>107.32986546</v>
      </c>
      <c r="BM12" s="111">
        <v>107.43416466</v>
      </c>
      <c r="BN12" s="282"/>
      <c r="BO12" s="280" t="s">
        <v>220</v>
      </c>
      <c r="BP12" s="281">
        <v>991.471959252754</v>
      </c>
      <c r="BQ12" s="291">
        <v>7.45104988347939</v>
      </c>
      <c r="BR12" s="180"/>
      <c r="BS12" s="280" t="s">
        <v>220</v>
      </c>
      <c r="BT12" s="281">
        <v>912.958740574516</v>
      </c>
      <c r="BU12" s="291">
        <v>7.68199242397465</v>
      </c>
      <c r="BV12" s="282"/>
      <c r="BW12" s="280" t="s">
        <v>220</v>
      </c>
      <c r="BX12" s="281">
        <v>61.650526151</v>
      </c>
      <c r="BY12" s="291">
        <v>5.85362132547991</v>
      </c>
      <c r="BZ12" s="282"/>
      <c r="CA12" s="280" t="s">
        <v>232</v>
      </c>
      <c r="CB12" s="281">
        <v>36.27291</v>
      </c>
      <c r="CC12" s="281">
        <v>4.5</v>
      </c>
      <c r="CD12" s="291">
        <v>38.4115558540779</v>
      </c>
      <c r="CE12" s="282"/>
      <c r="CF12" s="280" t="s">
        <v>232</v>
      </c>
      <c r="CG12" s="281">
        <v>78.46161</v>
      </c>
      <c r="CH12" s="281">
        <v>5.2</v>
      </c>
      <c r="CI12" s="291">
        <v>83.0876958842254</v>
      </c>
      <c r="CJ12" s="282"/>
      <c r="CK12" s="280" t="s">
        <v>232</v>
      </c>
      <c r="CL12" s="281">
        <v>59.79622</v>
      </c>
      <c r="CM12" s="281">
        <v>5.9</v>
      </c>
      <c r="CN12" s="291">
        <v>63.3217970213234</v>
      </c>
      <c r="CO12" s="282"/>
      <c r="CP12" s="280" t="s">
        <v>242</v>
      </c>
      <c r="CQ12" s="281">
        <v>19.69889</v>
      </c>
      <c r="CR12" s="281">
        <v>8.3</v>
      </c>
      <c r="CS12" s="313">
        <v>3.44224601839441</v>
      </c>
      <c r="CT12" s="314">
        <v>0.383677456600712</v>
      </c>
      <c r="CU12" s="282"/>
      <c r="CV12" s="280" t="s">
        <v>232</v>
      </c>
      <c r="CW12" s="281">
        <v>5.14825242841744</v>
      </c>
      <c r="CX12" s="291">
        <v>8.56683314991957</v>
      </c>
      <c r="CY12" s="282"/>
      <c r="CZ12" s="280" t="s">
        <v>220</v>
      </c>
      <c r="DA12" s="281">
        <v>258.218347467512</v>
      </c>
      <c r="DB12" s="291">
        <v>8.082</v>
      </c>
      <c r="DC12" s="322"/>
      <c r="DD12" s="280" t="s">
        <v>242</v>
      </c>
      <c r="DE12" s="281">
        <v>86.65069</v>
      </c>
      <c r="DF12" s="291">
        <v>7.3</v>
      </c>
      <c r="DG12" s="291"/>
      <c r="DH12" s="280" t="s">
        <v>232</v>
      </c>
      <c r="DI12" s="281">
        <v>125.36</v>
      </c>
      <c r="DJ12" s="291">
        <v>15.83</v>
      </c>
      <c r="DK12" s="291"/>
      <c r="DL12" s="280" t="s">
        <v>232</v>
      </c>
      <c r="DM12" s="281">
        <v>113.99</v>
      </c>
      <c r="DN12" s="291">
        <v>13.41</v>
      </c>
      <c r="DO12" s="291"/>
      <c r="DP12" s="280" t="s">
        <v>242</v>
      </c>
      <c r="DQ12" s="281">
        <v>0.8606</v>
      </c>
      <c r="DR12" s="291">
        <v>-57.77</v>
      </c>
      <c r="DT12" s="280" t="s">
        <v>242</v>
      </c>
      <c r="DU12" s="338">
        <v>28086</v>
      </c>
      <c r="DV12" s="339">
        <v>5</v>
      </c>
      <c r="DX12" s="280" t="s">
        <v>242</v>
      </c>
      <c r="DY12" s="338">
        <v>21383</v>
      </c>
      <c r="DZ12" s="339">
        <v>6</v>
      </c>
    </row>
    <row r="13" s="68" customFormat="1" ht="13.5" customHeight="1" spans="1:130">
      <c r="A13" s="91"/>
      <c r="B13" s="97" t="s">
        <v>95</v>
      </c>
      <c r="C13" s="98">
        <v>5715.43141746784</v>
      </c>
      <c r="D13" s="99">
        <v>5.15062929653443</v>
      </c>
      <c r="E13" s="119" t="s">
        <v>135</v>
      </c>
      <c r="F13" s="111"/>
      <c r="G13" s="115" t="s">
        <v>243</v>
      </c>
      <c r="H13" s="98">
        <v>95.37</v>
      </c>
      <c r="I13" s="99">
        <v>-14.9772666488366</v>
      </c>
      <c r="J13" s="120" t="s">
        <v>118</v>
      </c>
      <c r="K13" s="111"/>
      <c r="L13" s="130" t="s">
        <v>244</v>
      </c>
      <c r="M13" s="103" t="s">
        <v>118</v>
      </c>
      <c r="N13" s="104" t="s">
        <v>118</v>
      </c>
      <c r="O13" s="146" t="s">
        <v>118</v>
      </c>
      <c r="P13" s="145"/>
      <c r="Q13" s="100" t="s">
        <v>245</v>
      </c>
      <c r="R13" s="154" t="s">
        <v>118</v>
      </c>
      <c r="S13" s="87">
        <v>-40.6</v>
      </c>
      <c r="T13" s="105"/>
      <c r="U13" s="158" t="s">
        <v>246</v>
      </c>
      <c r="V13" s="89">
        <v>1244.17</v>
      </c>
      <c r="W13" s="87">
        <v>-14.36</v>
      </c>
      <c r="X13" s="87"/>
      <c r="Y13" s="108"/>
      <c r="Z13" s="100" t="s">
        <v>247</v>
      </c>
      <c r="AA13" s="92">
        <v>222.98907704</v>
      </c>
      <c r="AB13" s="92">
        <v>632.90514877</v>
      </c>
      <c r="AC13" s="181">
        <v>-4.015</v>
      </c>
      <c r="AD13" s="87"/>
      <c r="AE13" s="130" t="s">
        <v>248</v>
      </c>
      <c r="AF13" s="103">
        <v>131.00534</v>
      </c>
      <c r="AG13" s="120">
        <v>7</v>
      </c>
      <c r="AH13" s="199"/>
      <c r="AI13" s="136" t="s">
        <v>249</v>
      </c>
      <c r="AJ13" s="198">
        <v>15.95941</v>
      </c>
      <c r="AK13" s="87">
        <v>-10</v>
      </c>
      <c r="AL13" s="87"/>
      <c r="AM13" s="85" t="s">
        <v>181</v>
      </c>
      <c r="AN13" s="89">
        <v>4363</v>
      </c>
      <c r="AO13" s="90">
        <v>4.9</v>
      </c>
      <c r="AP13" s="111"/>
      <c r="AQ13" s="219" t="s">
        <v>218</v>
      </c>
      <c r="AR13" s="148">
        <v>29013.1875527298</v>
      </c>
      <c r="AS13" s="134">
        <v>5.95</v>
      </c>
      <c r="AT13" s="229">
        <v>1401.1206700437</v>
      </c>
      <c r="AU13" s="134">
        <v>1498.8905273833</v>
      </c>
      <c r="AV13" s="87"/>
      <c r="AW13" s="215" t="s">
        <v>75</v>
      </c>
      <c r="AX13" s="82" t="s">
        <v>89</v>
      </c>
      <c r="AY13" s="83" t="s">
        <v>77</v>
      </c>
      <c r="AZ13" s="241"/>
      <c r="BA13" s="245" t="s">
        <v>250</v>
      </c>
      <c r="BB13" s="246">
        <v>0.7933</v>
      </c>
      <c r="BC13" s="247">
        <v>4.50533526544592</v>
      </c>
      <c r="BD13" s="73"/>
      <c r="BE13" s="73"/>
      <c r="BF13" s="245" t="s">
        <v>251</v>
      </c>
      <c r="BG13" s="262">
        <v>30</v>
      </c>
      <c r="BH13" s="247" t="s">
        <v>118</v>
      </c>
      <c r="BI13" s="87"/>
      <c r="BJ13" s="158" t="s">
        <v>252</v>
      </c>
      <c r="BK13" s="170">
        <v>99.40799238</v>
      </c>
      <c r="BL13" s="170">
        <v>98.48455092</v>
      </c>
      <c r="BM13" s="111">
        <v>98.89275619</v>
      </c>
      <c r="BN13" s="282"/>
      <c r="BO13" s="280" t="s">
        <v>232</v>
      </c>
      <c r="BP13" s="281">
        <v>277.481394373508</v>
      </c>
      <c r="BQ13" s="291">
        <v>4.06130894679995</v>
      </c>
      <c r="BR13" s="180"/>
      <c r="BS13" s="280" t="s">
        <v>232</v>
      </c>
      <c r="BT13" s="281">
        <v>158.90650329808</v>
      </c>
      <c r="BU13" s="291">
        <v>3.71778162644586</v>
      </c>
      <c r="BV13" s="282"/>
      <c r="BW13" s="280" t="s">
        <v>232</v>
      </c>
      <c r="BX13" s="281">
        <v>94.432285268</v>
      </c>
      <c r="BY13" s="291">
        <v>4.44330630656567</v>
      </c>
      <c r="BZ13" s="282"/>
      <c r="CA13" s="280" t="s">
        <v>242</v>
      </c>
      <c r="CB13" s="281">
        <v>60.05351</v>
      </c>
      <c r="CC13" s="281">
        <v>-1</v>
      </c>
      <c r="CD13" s="291">
        <v>35.0152050791622</v>
      </c>
      <c r="CE13" s="282"/>
      <c r="CF13" s="280" t="s">
        <v>242</v>
      </c>
      <c r="CG13" s="281">
        <v>128.78185</v>
      </c>
      <c r="CH13" s="281">
        <v>2.8</v>
      </c>
      <c r="CI13" s="291">
        <v>75.0884151188482</v>
      </c>
      <c r="CJ13" s="282"/>
      <c r="CK13" s="280" t="s">
        <v>242</v>
      </c>
      <c r="CL13" s="281">
        <v>80.22213</v>
      </c>
      <c r="CM13" s="281">
        <v>1.8</v>
      </c>
      <c r="CN13" s="291">
        <v>46.7748568541158</v>
      </c>
      <c r="CO13" s="282"/>
      <c r="CP13" s="280" t="s">
        <v>253</v>
      </c>
      <c r="CQ13" s="281">
        <v>8.53432</v>
      </c>
      <c r="CR13" s="281">
        <v>17.3</v>
      </c>
      <c r="CS13" s="313">
        <v>3.29459097781485</v>
      </c>
      <c r="CT13" s="314">
        <v>0.356025794339379</v>
      </c>
      <c r="CU13" s="282"/>
      <c r="CV13" s="280" t="s">
        <v>242</v>
      </c>
      <c r="CW13" s="281">
        <v>3.4535305668649</v>
      </c>
      <c r="CX13" s="291">
        <v>-0.995584509820389</v>
      </c>
      <c r="CY13" s="282"/>
      <c r="CZ13" s="280" t="s">
        <v>232</v>
      </c>
      <c r="DA13" s="281">
        <v>87.6903485873591</v>
      </c>
      <c r="DB13" s="291">
        <v>3.676</v>
      </c>
      <c r="DC13" s="322"/>
      <c r="DD13" s="280" t="s">
        <v>253</v>
      </c>
      <c r="DE13" s="281">
        <v>31.94079</v>
      </c>
      <c r="DF13" s="291">
        <v>2.5</v>
      </c>
      <c r="DG13" s="291"/>
      <c r="DH13" s="280" t="s">
        <v>242</v>
      </c>
      <c r="DI13" s="281">
        <v>265.29</v>
      </c>
      <c r="DJ13" s="291">
        <v>11.7</v>
      </c>
      <c r="DK13" s="291"/>
      <c r="DL13" s="280" t="s">
        <v>242</v>
      </c>
      <c r="DM13" s="281">
        <v>185.84</v>
      </c>
      <c r="DN13" s="291">
        <v>14.54</v>
      </c>
      <c r="DO13" s="291"/>
      <c r="DP13" s="280" t="s">
        <v>253</v>
      </c>
      <c r="DQ13" s="281">
        <v>1.3028</v>
      </c>
      <c r="DR13" s="291">
        <v>207.34</v>
      </c>
      <c r="DT13" s="280" t="s">
        <v>253</v>
      </c>
      <c r="DU13" s="338">
        <v>25751</v>
      </c>
      <c r="DV13" s="339">
        <v>3.5</v>
      </c>
      <c r="DX13" s="280" t="s">
        <v>253</v>
      </c>
      <c r="DY13" s="338">
        <v>16574</v>
      </c>
      <c r="DZ13" s="339">
        <v>4.4</v>
      </c>
    </row>
    <row r="14" s="68" customFormat="1" ht="13.5" customHeight="1" spans="1:130">
      <c r="A14" s="91"/>
      <c r="B14" s="100" t="s">
        <v>245</v>
      </c>
      <c r="C14" s="89">
        <v>53.2559247202021</v>
      </c>
      <c r="D14" s="92">
        <v>2.51550235502658</v>
      </c>
      <c r="E14" s="87">
        <v>0.931791860146169</v>
      </c>
      <c r="F14" s="111"/>
      <c r="G14" s="116" t="s">
        <v>254</v>
      </c>
      <c r="H14" s="86"/>
      <c r="I14" s="102"/>
      <c r="J14" s="129"/>
      <c r="K14" s="111"/>
      <c r="L14" s="100" t="s">
        <v>255</v>
      </c>
      <c r="M14" s="89">
        <v>382</v>
      </c>
      <c r="N14" s="92">
        <v>4.4</v>
      </c>
      <c r="O14" s="145">
        <v>35.601118359739</v>
      </c>
      <c r="P14" s="145"/>
      <c r="Q14" s="100" t="s">
        <v>256</v>
      </c>
      <c r="R14" s="154" t="s">
        <v>118</v>
      </c>
      <c r="S14" s="87">
        <v>14.2</v>
      </c>
      <c r="T14" s="74"/>
      <c r="U14" s="160" t="s">
        <v>132</v>
      </c>
      <c r="V14" s="147">
        <v>501.73</v>
      </c>
      <c r="W14" s="134">
        <v>-20.18</v>
      </c>
      <c r="X14" s="87"/>
      <c r="Y14" s="108"/>
      <c r="Z14" s="174" t="s">
        <v>257</v>
      </c>
      <c r="AA14" s="133" t="s">
        <v>118</v>
      </c>
      <c r="AB14" s="175">
        <v>29.72</v>
      </c>
      <c r="AC14" s="134">
        <v>27.89</v>
      </c>
      <c r="AD14" s="87"/>
      <c r="AE14" s="185"/>
      <c r="AF14" s="186"/>
      <c r="AG14" s="200" t="s">
        <v>258</v>
      </c>
      <c r="AH14" s="199"/>
      <c r="AI14" s="136" t="s">
        <v>259</v>
      </c>
      <c r="AJ14" s="198">
        <v>7.79995</v>
      </c>
      <c r="AK14" s="87">
        <v>-3.2</v>
      </c>
      <c r="AL14" s="87"/>
      <c r="AM14" s="158" t="s">
        <v>260</v>
      </c>
      <c r="AN14" s="89">
        <v>14992</v>
      </c>
      <c r="AO14" s="90">
        <v>4.7</v>
      </c>
      <c r="AP14" s="111"/>
      <c r="AQ14" s="220"/>
      <c r="AR14" s="221"/>
      <c r="AS14" s="230"/>
      <c r="AT14" s="231"/>
      <c r="AU14" s="231"/>
      <c r="AV14" s="87"/>
      <c r="AW14" s="85" t="s">
        <v>261</v>
      </c>
      <c r="AX14" s="184">
        <v>11927.9</v>
      </c>
      <c r="AY14" s="127">
        <v>47.2</v>
      </c>
      <c r="AZ14" s="241"/>
      <c r="BA14" s="183" t="s">
        <v>262</v>
      </c>
      <c r="BB14" s="246">
        <v>196.0881</v>
      </c>
      <c r="BC14" s="247">
        <v>21.0405427093493</v>
      </c>
      <c r="BD14" s="73"/>
      <c r="BE14" s="73"/>
      <c r="BF14" s="245" t="s">
        <v>263</v>
      </c>
      <c r="BG14" s="246">
        <v>96.8</v>
      </c>
      <c r="BH14" s="263" t="s">
        <v>264</v>
      </c>
      <c r="BI14" s="87"/>
      <c r="BJ14" s="159" t="s">
        <v>265</v>
      </c>
      <c r="BK14" s="171">
        <v>99.97700021</v>
      </c>
      <c r="BL14" s="171">
        <v>100.4917739</v>
      </c>
      <c r="BM14" s="283">
        <v>100.16873225</v>
      </c>
      <c r="BN14" s="282"/>
      <c r="BO14" s="280" t="s">
        <v>242</v>
      </c>
      <c r="BP14" s="281">
        <v>344.313755579781</v>
      </c>
      <c r="BQ14" s="291">
        <v>5.35027616490034</v>
      </c>
      <c r="BR14" s="180"/>
      <c r="BS14" s="280" t="s">
        <v>242</v>
      </c>
      <c r="BT14" s="281">
        <v>157.375520007931</v>
      </c>
      <c r="BU14" s="291">
        <v>6.72071201519474</v>
      </c>
      <c r="BV14" s="282"/>
      <c r="BW14" s="280" t="s">
        <v>242</v>
      </c>
      <c r="BX14" s="281">
        <v>171.506949236</v>
      </c>
      <c r="BY14" s="291">
        <v>4.24476751776613</v>
      </c>
      <c r="BZ14" s="282"/>
      <c r="CA14" s="280" t="s">
        <v>253</v>
      </c>
      <c r="CB14" s="281">
        <v>21.38974</v>
      </c>
      <c r="CC14" s="281">
        <v>5.9</v>
      </c>
      <c r="CD14" s="291">
        <v>34.3462081760538</v>
      </c>
      <c r="CE14" s="282"/>
      <c r="CF14" s="280" t="s">
        <v>253</v>
      </c>
      <c r="CG14" s="281">
        <v>41.13958</v>
      </c>
      <c r="CH14" s="281">
        <v>10</v>
      </c>
      <c r="CI14" s="291">
        <v>66.059175051002</v>
      </c>
      <c r="CJ14" s="282"/>
      <c r="CK14" s="280" t="s">
        <v>253</v>
      </c>
      <c r="CL14" s="281">
        <v>30.30901</v>
      </c>
      <c r="CM14" s="281">
        <v>11.3</v>
      </c>
      <c r="CN14" s="291">
        <v>48.6681730151978</v>
      </c>
      <c r="CO14" s="282"/>
      <c r="CP14" s="284" t="s">
        <v>266</v>
      </c>
      <c r="CQ14" s="285">
        <v>7.7861</v>
      </c>
      <c r="CR14" s="285">
        <v>-3.2</v>
      </c>
      <c r="CS14" s="315">
        <v>3.77108061964074</v>
      </c>
      <c r="CT14" s="95">
        <v>0.0497552427955439</v>
      </c>
      <c r="CU14" s="282"/>
      <c r="CV14" s="280" t="s">
        <v>253</v>
      </c>
      <c r="CW14" s="281">
        <v>6.07490317057862</v>
      </c>
      <c r="CX14" s="291">
        <v>4.48710388280207</v>
      </c>
      <c r="CY14" s="282"/>
      <c r="CZ14" s="280" t="s">
        <v>242</v>
      </c>
      <c r="DA14" s="281">
        <v>121.399880299256</v>
      </c>
      <c r="DB14" s="291">
        <v>19.519</v>
      </c>
      <c r="DC14" s="322"/>
      <c r="DD14" s="284" t="s">
        <v>266</v>
      </c>
      <c r="DE14" s="285">
        <v>11.25842</v>
      </c>
      <c r="DF14" s="120">
        <v>-19.5</v>
      </c>
      <c r="DG14" s="291"/>
      <c r="DH14" s="280" t="s">
        <v>253</v>
      </c>
      <c r="DI14" s="281">
        <v>123.87</v>
      </c>
      <c r="DJ14" s="291">
        <v>6.82</v>
      </c>
      <c r="DK14" s="291"/>
      <c r="DL14" s="280" t="s">
        <v>253</v>
      </c>
      <c r="DM14" s="281">
        <v>47.85</v>
      </c>
      <c r="DN14" s="291">
        <v>17.24</v>
      </c>
      <c r="DO14" s="291"/>
      <c r="DP14" s="284" t="s">
        <v>266</v>
      </c>
      <c r="DQ14" s="285">
        <v>0.25</v>
      </c>
      <c r="DR14" s="120">
        <v>-22.72</v>
      </c>
      <c r="DT14" s="284" t="s">
        <v>266</v>
      </c>
      <c r="DU14" s="340">
        <v>24583</v>
      </c>
      <c r="DV14" s="341">
        <v>4.2</v>
      </c>
      <c r="DX14" s="284" t="s">
        <v>266</v>
      </c>
      <c r="DY14" s="340">
        <v>15770</v>
      </c>
      <c r="DZ14" s="341">
        <v>4.8</v>
      </c>
    </row>
    <row r="15" s="68" customFormat="1" spans="1:130">
      <c r="A15" s="91"/>
      <c r="B15" s="100" t="s">
        <v>256</v>
      </c>
      <c r="C15" s="89">
        <v>1291.08126863558</v>
      </c>
      <c r="D15" s="92">
        <v>5.83316553456878</v>
      </c>
      <c r="E15" s="87">
        <v>22.5893930717059</v>
      </c>
      <c r="F15" s="111"/>
      <c r="G15" s="117" t="s">
        <v>267</v>
      </c>
      <c r="H15" s="86">
        <v>9458.40397</v>
      </c>
      <c r="I15" s="102">
        <v>3.8</v>
      </c>
      <c r="J15" s="129" t="s">
        <v>118</v>
      </c>
      <c r="K15" s="111"/>
      <c r="L15" s="130" t="s">
        <v>268</v>
      </c>
      <c r="M15" s="103">
        <v>160</v>
      </c>
      <c r="N15" s="104">
        <v>3</v>
      </c>
      <c r="O15" s="146">
        <v>14.9114631873253</v>
      </c>
      <c r="P15" s="145"/>
      <c r="Q15" s="130" t="s">
        <v>269</v>
      </c>
      <c r="R15" s="155" t="s">
        <v>118</v>
      </c>
      <c r="S15" s="120">
        <v>-2.1</v>
      </c>
      <c r="T15" s="74"/>
      <c r="U15" s="71" t="s">
        <v>270</v>
      </c>
      <c r="Y15" s="108"/>
      <c r="Z15" s="176"/>
      <c r="AA15" s="176"/>
      <c r="AD15" s="87"/>
      <c r="AE15" s="187" t="s">
        <v>271</v>
      </c>
      <c r="AF15" s="188">
        <v>98.63</v>
      </c>
      <c r="AG15" s="145">
        <v>-1.91000000000001</v>
      </c>
      <c r="AH15" s="87"/>
      <c r="AI15" s="136" t="s">
        <v>272</v>
      </c>
      <c r="AJ15" s="198">
        <v>30.20971</v>
      </c>
      <c r="AK15" s="87">
        <v>-1.7</v>
      </c>
      <c r="AL15" s="212"/>
      <c r="AM15" s="85" t="s">
        <v>116</v>
      </c>
      <c r="AN15" s="89">
        <v>17513</v>
      </c>
      <c r="AO15" s="90">
        <v>4.9</v>
      </c>
      <c r="AP15" s="87"/>
      <c r="AQ15" s="159"/>
      <c r="AR15" s="81" t="s">
        <v>89</v>
      </c>
      <c r="AS15" s="83" t="s">
        <v>77</v>
      </c>
      <c r="AT15" s="231"/>
      <c r="AU15" s="231"/>
      <c r="AV15" s="228"/>
      <c r="AW15" s="85" t="s">
        <v>273</v>
      </c>
      <c r="AX15" s="184">
        <v>1804.2</v>
      </c>
      <c r="AY15" s="127">
        <v>29.9</v>
      </c>
      <c r="AZ15" s="87"/>
      <c r="BA15" s="245" t="s">
        <v>274</v>
      </c>
      <c r="BB15" s="246">
        <v>0.17103</v>
      </c>
      <c r="BC15" s="247">
        <v>-6.19755388581144</v>
      </c>
      <c r="BD15" s="73"/>
      <c r="BE15" s="73"/>
      <c r="BF15" s="264" t="s">
        <v>275</v>
      </c>
      <c r="BG15" s="265">
        <v>30.9</v>
      </c>
      <c r="BH15" s="259" t="s">
        <v>118</v>
      </c>
      <c r="BI15" s="272"/>
      <c r="BJ15" s="100" t="s">
        <v>276</v>
      </c>
      <c r="BK15" s="92">
        <v>99.6574</v>
      </c>
      <c r="BL15" s="273">
        <v>97.8812</v>
      </c>
      <c r="BM15" s="87">
        <v>98.3468</v>
      </c>
      <c r="BO15" s="280" t="s">
        <v>253</v>
      </c>
      <c r="BP15" s="281">
        <v>250.088618033578</v>
      </c>
      <c r="BQ15" s="291">
        <v>5.65330741677066</v>
      </c>
      <c r="BR15" s="180"/>
      <c r="BS15" s="280" t="s">
        <v>253</v>
      </c>
      <c r="BT15" s="281">
        <v>161.583378144201</v>
      </c>
      <c r="BU15" s="291">
        <v>5.7319328012284</v>
      </c>
      <c r="BV15" s="290"/>
      <c r="BW15" s="280" t="s">
        <v>253</v>
      </c>
      <c r="BX15" s="281">
        <v>62.276860055</v>
      </c>
      <c r="BY15" s="291">
        <v>6.77908109098613</v>
      </c>
      <c r="BZ15" s="84"/>
      <c r="CA15" s="284" t="s">
        <v>266</v>
      </c>
      <c r="CB15" s="285">
        <v>21.01246</v>
      </c>
      <c r="CC15" s="285">
        <v>-1.2</v>
      </c>
      <c r="CD15" s="120">
        <v>38.4967066625834</v>
      </c>
      <c r="CE15" s="282"/>
      <c r="CF15" s="284" t="s">
        <v>266</v>
      </c>
      <c r="CG15" s="285">
        <v>46.15525</v>
      </c>
      <c r="CH15" s="285">
        <v>4</v>
      </c>
      <c r="CI15" s="120">
        <v>84.5605474174944</v>
      </c>
      <c r="CJ15" s="282"/>
      <c r="CK15" s="284" t="s">
        <v>266</v>
      </c>
      <c r="CL15" s="285">
        <v>35.84888</v>
      </c>
      <c r="CM15" s="285">
        <v>3.6</v>
      </c>
      <c r="CN15" s="120">
        <v>65.6783554872754</v>
      </c>
      <c r="CO15" s="228"/>
      <c r="CP15" s="280" t="s">
        <v>277</v>
      </c>
      <c r="CQ15" s="281">
        <v>3.69159</v>
      </c>
      <c r="CR15" s="281">
        <v>14</v>
      </c>
      <c r="CS15" s="313">
        <v>4.85503889854656</v>
      </c>
      <c r="CT15" s="314">
        <v>0.844927432770241</v>
      </c>
      <c r="CU15" s="228"/>
      <c r="CV15" s="284" t="s">
        <v>266</v>
      </c>
      <c r="CW15" s="285">
        <v>-2.90771383711497</v>
      </c>
      <c r="CX15" s="120">
        <v>18.0008576040896</v>
      </c>
      <c r="CY15" s="228"/>
      <c r="CZ15" s="280" t="s">
        <v>253</v>
      </c>
      <c r="DA15" s="281">
        <v>148.816862178828</v>
      </c>
      <c r="DB15" s="291">
        <v>29.48</v>
      </c>
      <c r="DC15" s="321"/>
      <c r="DD15" s="280" t="s">
        <v>277</v>
      </c>
      <c r="DE15" s="281">
        <v>56.43128</v>
      </c>
      <c r="DF15" s="291">
        <v>-4.1</v>
      </c>
      <c r="DG15" s="326"/>
      <c r="DH15" s="284" t="s">
        <v>266</v>
      </c>
      <c r="DI15" s="285">
        <v>75.68</v>
      </c>
      <c r="DJ15" s="120">
        <v>15.18</v>
      </c>
      <c r="DK15" s="329"/>
      <c r="DL15" s="284" t="s">
        <v>266</v>
      </c>
      <c r="DM15" s="285">
        <v>63.38</v>
      </c>
      <c r="DN15" s="120">
        <v>21.55</v>
      </c>
      <c r="DO15" s="333"/>
      <c r="DP15" s="280" t="s">
        <v>277</v>
      </c>
      <c r="DQ15" s="281">
        <v>0.0895</v>
      </c>
      <c r="DR15" s="291">
        <v>-86.81</v>
      </c>
      <c r="DS15" s="84"/>
      <c r="DT15" s="280" t="s">
        <v>277</v>
      </c>
      <c r="DU15" s="338">
        <v>23656</v>
      </c>
      <c r="DV15" s="339">
        <v>4.3</v>
      </c>
      <c r="DX15" s="280" t="s">
        <v>277</v>
      </c>
      <c r="DY15" s="338">
        <v>15218</v>
      </c>
      <c r="DZ15" s="339">
        <v>5.6</v>
      </c>
    </row>
    <row r="16" s="68" customFormat="1" ht="15" customHeight="1" spans="1:130">
      <c r="A16" s="91"/>
      <c r="B16" s="97" t="s">
        <v>269</v>
      </c>
      <c r="C16" s="98">
        <v>4371.09422411205</v>
      </c>
      <c r="D16" s="99">
        <v>4.97988317918652</v>
      </c>
      <c r="E16" s="120">
        <v>76.4788150681479</v>
      </c>
      <c r="F16" s="91"/>
      <c r="G16" s="117" t="s">
        <v>278</v>
      </c>
      <c r="H16" s="86">
        <v>2998.06583</v>
      </c>
      <c r="I16" s="102">
        <v>-1.2</v>
      </c>
      <c r="J16" s="129" t="s">
        <v>118</v>
      </c>
      <c r="K16" s="111"/>
      <c r="L16" s="131" t="s">
        <v>279</v>
      </c>
      <c r="M16" s="89">
        <v>191.4</v>
      </c>
      <c r="N16" s="92">
        <v>20.9</v>
      </c>
      <c r="O16" s="87">
        <v>17.8</v>
      </c>
      <c r="P16" s="145"/>
      <c r="Q16" s="101" t="s">
        <v>280</v>
      </c>
      <c r="R16" s="154" t="s">
        <v>118</v>
      </c>
      <c r="S16" s="87">
        <v>3.62132089672762</v>
      </c>
      <c r="T16" s="74"/>
      <c r="U16" s="161"/>
      <c r="V16" s="161"/>
      <c r="W16" s="161"/>
      <c r="X16" s="161"/>
      <c r="Y16" s="108"/>
      <c r="Z16" s="161"/>
      <c r="AA16" s="161"/>
      <c r="AB16" s="161"/>
      <c r="AC16" s="91"/>
      <c r="AD16" s="87"/>
      <c r="AE16" s="100" t="s">
        <v>281</v>
      </c>
      <c r="AF16" s="188">
        <v>36.52</v>
      </c>
      <c r="AG16" s="87">
        <v>-0.259999999999998</v>
      </c>
      <c r="AH16" s="87"/>
      <c r="AI16" s="136" t="s">
        <v>282</v>
      </c>
      <c r="AJ16" s="198">
        <v>28.91665</v>
      </c>
      <c r="AK16" s="87">
        <v>3.5</v>
      </c>
      <c r="AL16" s="212"/>
      <c r="AM16" s="85" t="s">
        <v>137</v>
      </c>
      <c r="AN16" s="89">
        <v>10413</v>
      </c>
      <c r="AO16" s="90">
        <v>4.1</v>
      </c>
      <c r="AP16" s="87"/>
      <c r="AQ16" s="158" t="s">
        <v>283</v>
      </c>
      <c r="AR16" s="86">
        <v>472.49</v>
      </c>
      <c r="AS16" s="87">
        <v>1.74</v>
      </c>
      <c r="AT16" s="231"/>
      <c r="AU16" s="231"/>
      <c r="AV16" s="228"/>
      <c r="AW16" s="100" t="s">
        <v>284</v>
      </c>
      <c r="AX16" s="92">
        <v>11881.2</v>
      </c>
      <c r="AY16" s="87">
        <v>46.8</v>
      </c>
      <c r="AZ16" s="111"/>
      <c r="BA16" s="183" t="s">
        <v>285</v>
      </c>
      <c r="BB16" s="246">
        <v>110.14576</v>
      </c>
      <c r="BC16" s="247">
        <v>-9.19531170908667</v>
      </c>
      <c r="BD16" s="73"/>
      <c r="BE16" s="73"/>
      <c r="BF16" s="266" t="s">
        <v>286</v>
      </c>
      <c r="BG16" s="265">
        <v>0.5</v>
      </c>
      <c r="BH16" s="259" t="s">
        <v>118</v>
      </c>
      <c r="BI16" s="272"/>
      <c r="BJ16" s="130" t="s">
        <v>287</v>
      </c>
      <c r="BK16" s="104">
        <v>99.4408</v>
      </c>
      <c r="BL16" s="104">
        <v>96.841</v>
      </c>
      <c r="BM16" s="120">
        <v>97.6153</v>
      </c>
      <c r="BO16" s="284" t="s">
        <v>266</v>
      </c>
      <c r="BP16" s="285">
        <v>177.695839607563</v>
      </c>
      <c r="BQ16" s="120">
        <v>5.35829267005278</v>
      </c>
      <c r="BR16" s="292"/>
      <c r="BS16" s="284" t="s">
        <v>266</v>
      </c>
      <c r="BT16" s="285">
        <v>99.2826464027738</v>
      </c>
      <c r="BU16" s="120">
        <v>6.96889070412658</v>
      </c>
      <c r="BV16" s="290"/>
      <c r="BW16" s="284" t="s">
        <v>266</v>
      </c>
      <c r="BX16" s="285">
        <v>54.582487235</v>
      </c>
      <c r="BY16" s="120">
        <v>2.49192330090463</v>
      </c>
      <c r="BZ16" s="84"/>
      <c r="CA16" s="280" t="s">
        <v>277</v>
      </c>
      <c r="CB16" s="281">
        <v>19.21133</v>
      </c>
      <c r="CC16" s="281">
        <v>13.6</v>
      </c>
      <c r="CD16" s="291">
        <v>61.6839645678525</v>
      </c>
      <c r="CE16" s="282"/>
      <c r="CF16" s="280" t="s">
        <v>277</v>
      </c>
      <c r="CG16" s="281">
        <v>26.16179</v>
      </c>
      <c r="CH16" s="281">
        <v>11.9</v>
      </c>
      <c r="CI16" s="291">
        <v>84.0005833740609</v>
      </c>
      <c r="CJ16" s="282"/>
      <c r="CK16" s="280" t="s">
        <v>277</v>
      </c>
      <c r="CL16" s="281">
        <v>21.39409</v>
      </c>
      <c r="CM16" s="281">
        <v>14.2</v>
      </c>
      <c r="CN16" s="291">
        <v>68.6923960767655</v>
      </c>
      <c r="CO16" s="228"/>
      <c r="CP16" s="280" t="s">
        <v>288</v>
      </c>
      <c r="CQ16" s="281">
        <v>0.31908</v>
      </c>
      <c r="CR16" s="281">
        <v>10.9</v>
      </c>
      <c r="CS16" s="313">
        <v>1.64648210738151</v>
      </c>
      <c r="CT16" s="314">
        <v>0.223824498919628</v>
      </c>
      <c r="CU16" s="228"/>
      <c r="CV16" s="280" t="s">
        <v>277</v>
      </c>
      <c r="CW16" s="281">
        <v>3.49558586971665</v>
      </c>
      <c r="CX16" s="291">
        <v>62.1676454885211</v>
      </c>
      <c r="CY16" s="228"/>
      <c r="CZ16" s="284" t="s">
        <v>266</v>
      </c>
      <c r="DA16" s="285">
        <v>61.8637211843242</v>
      </c>
      <c r="DB16" s="120">
        <v>3.456</v>
      </c>
      <c r="DC16" s="321"/>
      <c r="DD16" s="280" t="s">
        <v>288</v>
      </c>
      <c r="DE16" s="281">
        <v>6.80293</v>
      </c>
      <c r="DF16" s="291">
        <v>16.6</v>
      </c>
      <c r="DG16" s="326"/>
      <c r="DH16" s="280" t="s">
        <v>277</v>
      </c>
      <c r="DI16" s="281">
        <v>33.71</v>
      </c>
      <c r="DJ16" s="291">
        <v>14.1</v>
      </c>
      <c r="DK16" s="329"/>
      <c r="DL16" s="280" t="s">
        <v>277</v>
      </c>
      <c r="DM16" s="281">
        <v>29.54</v>
      </c>
      <c r="DN16" s="291">
        <v>8.65</v>
      </c>
      <c r="DO16" s="333"/>
      <c r="DP16" s="280" t="s">
        <v>288</v>
      </c>
      <c r="DQ16" s="281">
        <v>0.3826</v>
      </c>
      <c r="DR16" s="291">
        <v>1468.03</v>
      </c>
      <c r="DS16" s="84"/>
      <c r="DT16" s="280" t="s">
        <v>288</v>
      </c>
      <c r="DU16" s="338">
        <v>21644</v>
      </c>
      <c r="DV16" s="339">
        <v>3.7</v>
      </c>
      <c r="DX16" s="280" t="s">
        <v>288</v>
      </c>
      <c r="DY16" s="338">
        <v>8857</v>
      </c>
      <c r="DZ16" s="339">
        <v>5</v>
      </c>
    </row>
    <row r="17" s="68" customFormat="1" ht="18" customHeight="1" spans="2:130">
      <c r="B17" s="101" t="s">
        <v>289</v>
      </c>
      <c r="C17" s="86">
        <v>57.390187482006</v>
      </c>
      <c r="D17" s="102">
        <v>2.95761716154019</v>
      </c>
      <c r="E17" s="87">
        <v>1.00412695543169</v>
      </c>
      <c r="F17" s="75"/>
      <c r="G17" s="117" t="s">
        <v>290</v>
      </c>
      <c r="H17" s="86">
        <v>7729.60253</v>
      </c>
      <c r="I17" s="102">
        <v>0.4</v>
      </c>
      <c r="J17" s="132" t="s">
        <v>118</v>
      </c>
      <c r="K17" s="111"/>
      <c r="L17" s="131" t="s">
        <v>291</v>
      </c>
      <c r="M17" s="89">
        <v>99.1</v>
      </c>
      <c r="N17" s="92">
        <v>8.7</v>
      </c>
      <c r="O17" s="87">
        <v>9.2</v>
      </c>
      <c r="P17" s="145"/>
      <c r="Q17" s="101" t="s">
        <v>292</v>
      </c>
      <c r="R17" s="154" t="s">
        <v>118</v>
      </c>
      <c r="S17" s="87">
        <v>14.6</v>
      </c>
      <c r="T17" s="74"/>
      <c r="U17" s="162" t="s">
        <v>293</v>
      </c>
      <c r="V17" s="162"/>
      <c r="W17" s="162"/>
      <c r="X17" s="162"/>
      <c r="Y17" s="108"/>
      <c r="Z17" s="162" t="s">
        <v>294</v>
      </c>
      <c r="AA17" s="162"/>
      <c r="AB17" s="162"/>
      <c r="AC17" s="157"/>
      <c r="AD17" s="87"/>
      <c r="AE17" s="100" t="s">
        <v>295</v>
      </c>
      <c r="AF17" s="188">
        <v>6.3</v>
      </c>
      <c r="AG17" s="87">
        <v>-0.29</v>
      </c>
      <c r="AH17" s="153"/>
      <c r="AI17" s="136" t="s">
        <v>296</v>
      </c>
      <c r="AJ17" s="198">
        <v>502.46598</v>
      </c>
      <c r="AK17" s="87">
        <v>31.6046272753067</v>
      </c>
      <c r="AL17" s="138"/>
      <c r="AM17" s="85" t="s">
        <v>153</v>
      </c>
      <c r="AN17" s="89">
        <v>3900</v>
      </c>
      <c r="AO17" s="90">
        <v>5.6</v>
      </c>
      <c r="AP17" s="87"/>
      <c r="AQ17" s="158" t="s">
        <v>297</v>
      </c>
      <c r="AR17" s="222">
        <v>314</v>
      </c>
      <c r="AS17" s="176" t="s">
        <v>298</v>
      </c>
      <c r="AT17" s="231"/>
      <c r="AU17" s="231"/>
      <c r="AV17" s="228"/>
      <c r="AW17" s="130" t="s">
        <v>299</v>
      </c>
      <c r="AX17" s="104">
        <v>1784.9</v>
      </c>
      <c r="AY17" s="120">
        <v>28.8</v>
      </c>
      <c r="AZ17" s="111"/>
      <c r="BA17" s="248" t="s">
        <v>300</v>
      </c>
      <c r="BB17" s="249">
        <v>34598.53</v>
      </c>
      <c r="BC17" s="250">
        <v>2.88326238249697</v>
      </c>
      <c r="BD17" s="73"/>
      <c r="BE17" s="73"/>
      <c r="BF17" s="266" t="s">
        <v>301</v>
      </c>
      <c r="BG17" s="265">
        <v>7.4</v>
      </c>
      <c r="BH17" s="259" t="s">
        <v>118</v>
      </c>
      <c r="BI17" s="272"/>
      <c r="BJ17" s="158" t="s">
        <v>302</v>
      </c>
      <c r="BK17" s="184">
        <v>100.5</v>
      </c>
      <c r="BL17" s="184">
        <v>99.2</v>
      </c>
      <c r="BM17" s="87">
        <v>98.8</v>
      </c>
      <c r="BO17" s="280" t="s">
        <v>277</v>
      </c>
      <c r="BP17" s="281">
        <v>116.006820043086</v>
      </c>
      <c r="BQ17" s="291">
        <v>5.65651590350922</v>
      </c>
      <c r="BR17" s="292"/>
      <c r="BS17" s="280" t="s">
        <v>277</v>
      </c>
      <c r="BT17" s="281">
        <v>68.4056783090313</v>
      </c>
      <c r="BU17" s="291">
        <v>5.72466639213857</v>
      </c>
      <c r="BV17" s="290"/>
      <c r="BW17" s="280" t="s">
        <v>277</v>
      </c>
      <c r="BX17" s="281">
        <v>31.144771797</v>
      </c>
      <c r="BY17" s="291">
        <v>8.91510949096407</v>
      </c>
      <c r="BZ17" s="84"/>
      <c r="CA17" s="280" t="s">
        <v>288</v>
      </c>
      <c r="CB17" s="281">
        <v>1.21291</v>
      </c>
      <c r="CC17" s="281">
        <v>30.3</v>
      </c>
      <c r="CD17" s="291">
        <v>14.6130640438584</v>
      </c>
      <c r="CE17" s="282"/>
      <c r="CF17" s="280" t="s">
        <v>288</v>
      </c>
      <c r="CG17" s="281">
        <v>3.14802</v>
      </c>
      <c r="CH17" s="281">
        <v>11.6</v>
      </c>
      <c r="CI17" s="291">
        <v>37.9271486518761</v>
      </c>
      <c r="CJ17" s="282"/>
      <c r="CK17" s="280" t="s">
        <v>288</v>
      </c>
      <c r="CL17" s="281">
        <v>1.86145</v>
      </c>
      <c r="CM17" s="281">
        <v>18.1</v>
      </c>
      <c r="CN17" s="291">
        <v>22.4266335213991</v>
      </c>
      <c r="CO17" s="228"/>
      <c r="CP17" s="121" t="s">
        <v>303</v>
      </c>
      <c r="CQ17" s="260">
        <v>2.54645</v>
      </c>
      <c r="CR17" s="260">
        <v>20.1</v>
      </c>
      <c r="CS17" s="316">
        <v>2.45433748694617</v>
      </c>
      <c r="CT17" s="317">
        <v>0.305626987871636</v>
      </c>
      <c r="CU17" s="228"/>
      <c r="CV17" s="280" t="s">
        <v>288</v>
      </c>
      <c r="CW17" s="281">
        <v>-15.2655462568125</v>
      </c>
      <c r="CX17" s="291">
        <v>-4.8943146145797</v>
      </c>
      <c r="CY17" s="228"/>
      <c r="CZ17" s="280" t="s">
        <v>277</v>
      </c>
      <c r="DA17" s="281">
        <v>37.4358559807755</v>
      </c>
      <c r="DB17" s="291">
        <v>3.936</v>
      </c>
      <c r="DC17" s="321"/>
      <c r="DD17" s="284" t="s">
        <v>303</v>
      </c>
      <c r="DE17" s="327">
        <v>5.87276</v>
      </c>
      <c r="DF17" s="328">
        <v>4.8</v>
      </c>
      <c r="DG17" s="326"/>
      <c r="DH17" s="280" t="s">
        <v>288</v>
      </c>
      <c r="DI17" s="281">
        <v>8.52</v>
      </c>
      <c r="DJ17" s="291">
        <v>52.64</v>
      </c>
      <c r="DK17" s="329"/>
      <c r="DL17" s="280" t="s">
        <v>288</v>
      </c>
      <c r="DM17" s="281">
        <v>8.14</v>
      </c>
      <c r="DN17" s="291">
        <v>52.58</v>
      </c>
      <c r="DO17" s="333"/>
      <c r="DP17" s="284" t="s">
        <v>303</v>
      </c>
      <c r="DQ17" s="327">
        <v>0.0577</v>
      </c>
      <c r="DR17" s="328">
        <v>-3.83</v>
      </c>
      <c r="DS17" s="84"/>
      <c r="DT17" s="284" t="s">
        <v>303</v>
      </c>
      <c r="DU17" s="336">
        <v>22095</v>
      </c>
      <c r="DV17" s="337">
        <v>4.7</v>
      </c>
      <c r="DX17" s="284" t="s">
        <v>303</v>
      </c>
      <c r="DY17" s="336">
        <v>12274</v>
      </c>
      <c r="DZ17" s="337">
        <v>4.7</v>
      </c>
    </row>
    <row r="18" s="68" customFormat="1" ht="17.25" customHeight="1" spans="2:130">
      <c r="B18" s="101" t="s">
        <v>304</v>
      </c>
      <c r="C18" s="86">
        <v>1165.95536221722</v>
      </c>
      <c r="D18" s="102">
        <v>6.23510010758759</v>
      </c>
      <c r="E18" s="87">
        <v>20.4001286526465</v>
      </c>
      <c r="F18" s="75"/>
      <c r="G18" s="117" t="s">
        <v>305</v>
      </c>
      <c r="H18" s="86">
        <v>2666.58013</v>
      </c>
      <c r="I18" s="102">
        <v>-1.7</v>
      </c>
      <c r="J18" s="129" t="s">
        <v>118</v>
      </c>
      <c r="K18" s="111"/>
      <c r="L18" s="131" t="s">
        <v>306</v>
      </c>
      <c r="M18" s="89">
        <v>100.2</v>
      </c>
      <c r="N18" s="92">
        <v>6.7</v>
      </c>
      <c r="O18" s="87">
        <v>9.3</v>
      </c>
      <c r="P18" s="145"/>
      <c r="Q18" s="101" t="s">
        <v>307</v>
      </c>
      <c r="R18" s="154" t="s">
        <v>118</v>
      </c>
      <c r="S18" s="87">
        <v>12.9</v>
      </c>
      <c r="T18" s="74"/>
      <c r="U18" s="163" t="s">
        <v>75</v>
      </c>
      <c r="V18" s="164" t="s">
        <v>82</v>
      </c>
      <c r="W18" s="164" t="s">
        <v>76</v>
      </c>
      <c r="X18" s="165" t="s">
        <v>77</v>
      </c>
      <c r="Y18" s="153"/>
      <c r="Z18" s="81" t="s">
        <v>75</v>
      </c>
      <c r="AA18" s="82" t="s">
        <v>89</v>
      </c>
      <c r="AB18" s="83" t="s">
        <v>77</v>
      </c>
      <c r="AC18" s="108"/>
      <c r="AD18" s="87"/>
      <c r="AE18" s="100" t="s">
        <v>308</v>
      </c>
      <c r="AF18" s="188">
        <v>100</v>
      </c>
      <c r="AG18" s="145">
        <v>0</v>
      </c>
      <c r="AH18" s="192"/>
      <c r="AI18" s="201" t="s">
        <v>309</v>
      </c>
      <c r="AJ18" s="198">
        <v>429.51761</v>
      </c>
      <c r="AK18" s="87">
        <v>37.5</v>
      </c>
      <c r="AL18" s="138"/>
      <c r="AM18" s="85" t="s">
        <v>166</v>
      </c>
      <c r="AN18" s="89">
        <v>1001</v>
      </c>
      <c r="AO18" s="90">
        <v>7.3</v>
      </c>
      <c r="AP18" s="87"/>
      <c r="AQ18" s="158" t="s">
        <v>310</v>
      </c>
      <c r="AR18" s="222">
        <v>232</v>
      </c>
      <c r="AS18" s="176" t="s">
        <v>311</v>
      </c>
      <c r="AT18" s="231"/>
      <c r="AU18" s="231"/>
      <c r="AV18" s="231"/>
      <c r="AW18" s="100" t="s">
        <v>312</v>
      </c>
      <c r="AX18" s="92">
        <v>25.0806</v>
      </c>
      <c r="AY18" s="87">
        <v>15.47</v>
      </c>
      <c r="AZ18" s="111"/>
      <c r="BA18" s="73"/>
      <c r="BB18" s="73"/>
      <c r="BC18" s="73"/>
      <c r="BD18" s="73"/>
      <c r="BE18" s="73"/>
      <c r="BF18" s="266" t="s">
        <v>313</v>
      </c>
      <c r="BG18" s="267">
        <v>420.5967</v>
      </c>
      <c r="BH18" s="247">
        <v>-1.42</v>
      </c>
      <c r="BJ18" s="219" t="s">
        <v>314</v>
      </c>
      <c r="BK18" s="148">
        <v>101</v>
      </c>
      <c r="BL18" s="260">
        <v>97.3</v>
      </c>
      <c r="BM18" s="261">
        <v>96.2</v>
      </c>
      <c r="BO18" s="280" t="s">
        <v>288</v>
      </c>
      <c r="BP18" s="281">
        <v>66.6776325681682</v>
      </c>
      <c r="BQ18" s="291">
        <v>5.32268571959089</v>
      </c>
      <c r="BR18" s="292"/>
      <c r="BS18" s="280" t="s">
        <v>288</v>
      </c>
      <c r="BT18" s="281">
        <v>46.7786044401238</v>
      </c>
      <c r="BU18" s="291">
        <v>6.39997517389033</v>
      </c>
      <c r="BV18" s="290"/>
      <c r="BW18" s="280" t="s">
        <v>288</v>
      </c>
      <c r="BX18" s="281">
        <v>8.300175763</v>
      </c>
      <c r="BY18" s="291">
        <v>10.3106391247055</v>
      </c>
      <c r="BZ18" s="84"/>
      <c r="CA18" s="121" t="s">
        <v>303</v>
      </c>
      <c r="CB18" s="260">
        <v>6.41511</v>
      </c>
      <c r="CC18" s="260">
        <v>3.8</v>
      </c>
      <c r="CD18" s="261">
        <v>18.3993380070133</v>
      </c>
      <c r="CE18" s="282"/>
      <c r="CF18" s="121" t="s">
        <v>303</v>
      </c>
      <c r="CG18" s="260">
        <v>17.62671</v>
      </c>
      <c r="CH18" s="260">
        <v>3.2</v>
      </c>
      <c r="CI18" s="261">
        <v>50.5556093724972</v>
      </c>
      <c r="CJ18" s="282"/>
      <c r="CK18" s="121" t="s">
        <v>303</v>
      </c>
      <c r="CL18" s="260">
        <v>5.49821</v>
      </c>
      <c r="CM18" s="260">
        <v>7.3</v>
      </c>
      <c r="CN18" s="261">
        <v>15.7695541032875</v>
      </c>
      <c r="CO18" s="228"/>
      <c r="CP18" s="302"/>
      <c r="CQ18" s="291"/>
      <c r="CR18" s="291"/>
      <c r="CS18" s="291"/>
      <c r="CT18" s="291"/>
      <c r="CU18" s="228"/>
      <c r="CV18" s="121" t="s">
        <v>303</v>
      </c>
      <c r="CW18" s="260">
        <v>1.5462708762297</v>
      </c>
      <c r="CX18" s="261">
        <v>23.6971516414883</v>
      </c>
      <c r="CY18" s="228"/>
      <c r="CZ18" s="280" t="s">
        <v>288</v>
      </c>
      <c r="DA18" s="281">
        <v>27.3232669612982</v>
      </c>
      <c r="DB18" s="291">
        <v>1.069</v>
      </c>
      <c r="DC18" s="321"/>
      <c r="DD18" s="203" t="s">
        <v>315</v>
      </c>
      <c r="DE18" s="203"/>
      <c r="DF18" s="203"/>
      <c r="DG18" s="326"/>
      <c r="DH18" s="121" t="s">
        <v>303</v>
      </c>
      <c r="DI18" s="260">
        <v>23.75</v>
      </c>
      <c r="DJ18" s="261">
        <v>-1.62</v>
      </c>
      <c r="DK18" s="329"/>
      <c r="DL18" s="121" t="s">
        <v>303</v>
      </c>
      <c r="DM18" s="260">
        <v>22.64</v>
      </c>
      <c r="DN18" s="261">
        <v>-2.7</v>
      </c>
      <c r="DO18" s="333"/>
      <c r="DP18" s="334"/>
      <c r="DQ18" s="334"/>
      <c r="DR18" s="334"/>
      <c r="DS18" s="84"/>
      <c r="DT18" s="105" t="s">
        <v>176</v>
      </c>
      <c r="DU18" s="105"/>
      <c r="DV18" s="105"/>
      <c r="DX18" s="105" t="s">
        <v>176</v>
      </c>
      <c r="DY18" s="105"/>
      <c r="DZ18" s="105"/>
    </row>
    <row r="19" s="68" customFormat="1" ht="21" customHeight="1" spans="2:123">
      <c r="B19" s="100" t="s">
        <v>316</v>
      </c>
      <c r="C19" s="89">
        <v>128.526567511403</v>
      </c>
      <c r="D19" s="92">
        <v>2.65488067997341</v>
      </c>
      <c r="E19" s="87">
        <v>2.24876405862543</v>
      </c>
      <c r="F19" s="75"/>
      <c r="G19" s="121" t="s">
        <v>317</v>
      </c>
      <c r="H19" s="122">
        <v>3115.49371</v>
      </c>
      <c r="I19" s="133">
        <v>0.3</v>
      </c>
      <c r="J19" s="134" t="s">
        <v>118</v>
      </c>
      <c r="K19" s="87"/>
      <c r="L19" s="131" t="s">
        <v>318</v>
      </c>
      <c r="M19" s="89">
        <v>145.7</v>
      </c>
      <c r="N19" s="92">
        <v>2</v>
      </c>
      <c r="O19" s="87">
        <v>13.6</v>
      </c>
      <c r="P19" s="145"/>
      <c r="Q19" s="101" t="s">
        <v>319</v>
      </c>
      <c r="R19" s="154" t="s">
        <v>118</v>
      </c>
      <c r="S19" s="87">
        <v>8.56559560767658</v>
      </c>
      <c r="T19" s="74"/>
      <c r="U19" s="166" t="s">
        <v>109</v>
      </c>
      <c r="V19" s="167" t="s">
        <v>118</v>
      </c>
      <c r="W19" s="168">
        <v>2074.557</v>
      </c>
      <c r="X19" s="169">
        <v>6.30702399011722</v>
      </c>
      <c r="Y19" s="153"/>
      <c r="Z19" s="100" t="s">
        <v>320</v>
      </c>
      <c r="AA19" s="89">
        <v>283</v>
      </c>
      <c r="AB19" s="111" t="s">
        <v>118</v>
      </c>
      <c r="AC19" s="111"/>
      <c r="AD19" s="87"/>
      <c r="AE19" s="100" t="s">
        <v>321</v>
      </c>
      <c r="AF19" s="188">
        <v>52.23</v>
      </c>
      <c r="AG19" s="87">
        <v>0.849999999999994</v>
      </c>
      <c r="AH19" s="111"/>
      <c r="AI19" s="136" t="s">
        <v>322</v>
      </c>
      <c r="AJ19" s="198">
        <v>420.31176</v>
      </c>
      <c r="AK19" s="87">
        <v>42</v>
      </c>
      <c r="AL19" s="138"/>
      <c r="AM19" s="85" t="s">
        <v>181</v>
      </c>
      <c r="AN19" s="89">
        <v>2199</v>
      </c>
      <c r="AO19" s="90">
        <v>6.8</v>
      </c>
      <c r="AP19" s="87"/>
      <c r="AQ19" s="159" t="s">
        <v>323</v>
      </c>
      <c r="AR19" s="99">
        <v>33.04</v>
      </c>
      <c r="AS19" s="232" t="s">
        <v>118</v>
      </c>
      <c r="AT19" s="231"/>
      <c r="AU19" s="111"/>
      <c r="AV19" s="231"/>
      <c r="AW19" s="160" t="s">
        <v>324</v>
      </c>
      <c r="AX19" s="148">
        <v>1.8102</v>
      </c>
      <c r="AY19" s="134">
        <v>16.98</v>
      </c>
      <c r="AZ19" s="111"/>
      <c r="BA19" s="251" t="s">
        <v>325</v>
      </c>
      <c r="BB19" s="251"/>
      <c r="BC19" s="251"/>
      <c r="BD19" s="73"/>
      <c r="BE19" s="73"/>
      <c r="BF19" s="100" t="s">
        <v>326</v>
      </c>
      <c r="BG19" s="268">
        <v>0.391919198067167</v>
      </c>
      <c r="BH19" s="87">
        <v>-7.8</v>
      </c>
      <c r="BJ19" s="244"/>
      <c r="BK19" s="244"/>
      <c r="BL19" s="244"/>
      <c r="BN19" s="91"/>
      <c r="BO19" s="121" t="s">
        <v>303</v>
      </c>
      <c r="BP19" s="260">
        <v>107.301405028454</v>
      </c>
      <c r="BQ19" s="261">
        <v>4.45235873180079</v>
      </c>
      <c r="BR19" s="292"/>
      <c r="BS19" s="121" t="s">
        <v>303</v>
      </c>
      <c r="BT19" s="260">
        <v>59.0772000449716</v>
      </c>
      <c r="BU19" s="261">
        <v>5.3495482054295</v>
      </c>
      <c r="BV19" s="290"/>
      <c r="BW19" s="121" t="s">
        <v>303</v>
      </c>
      <c r="BX19" s="260">
        <v>34.865982665</v>
      </c>
      <c r="BY19" s="261">
        <v>4.66095567360654</v>
      </c>
      <c r="BZ19" s="84"/>
      <c r="CA19" s="302"/>
      <c r="CB19" s="291"/>
      <c r="CC19" s="291"/>
      <c r="CD19" s="291"/>
      <c r="CE19" s="282"/>
      <c r="CF19" s="302"/>
      <c r="CG19" s="291"/>
      <c r="CH19" s="291"/>
      <c r="CI19" s="291"/>
      <c r="CJ19" s="282"/>
      <c r="CK19" s="302"/>
      <c r="CL19" s="291"/>
      <c r="CM19" s="291"/>
      <c r="CN19" s="291"/>
      <c r="CO19" s="228"/>
      <c r="CP19" s="302"/>
      <c r="CQ19" s="291"/>
      <c r="CR19" s="291"/>
      <c r="CS19" s="291"/>
      <c r="CT19" s="291"/>
      <c r="CU19" s="228"/>
      <c r="CV19" s="105"/>
      <c r="CW19" s="105"/>
      <c r="CX19" s="105"/>
      <c r="CY19" s="228"/>
      <c r="CZ19" s="121" t="s">
        <v>303</v>
      </c>
      <c r="DA19" s="260">
        <v>27.7876424482479</v>
      </c>
      <c r="DB19" s="261">
        <v>1.509</v>
      </c>
      <c r="DC19" s="321"/>
      <c r="DD19" s="136"/>
      <c r="DE19" s="136"/>
      <c r="DF19" s="136"/>
      <c r="DG19" s="326"/>
      <c r="DH19" s="136" t="s">
        <v>327</v>
      </c>
      <c r="DI19" s="136"/>
      <c r="DJ19" s="136"/>
      <c r="DK19" s="329"/>
      <c r="DL19" s="136" t="s">
        <v>327</v>
      </c>
      <c r="DM19" s="136"/>
      <c r="DN19" s="136"/>
      <c r="DO19" s="333"/>
      <c r="DS19" s="84"/>
    </row>
    <row r="20" s="68" customFormat="1" ht="20.25" customHeight="1" spans="2:118">
      <c r="B20" s="100" t="s">
        <v>328</v>
      </c>
      <c r="C20" s="89">
        <v>383.298671933954</v>
      </c>
      <c r="D20" s="92">
        <v>5.89885821768472</v>
      </c>
      <c r="E20" s="87">
        <v>6.70638214225603</v>
      </c>
      <c r="F20" s="75"/>
      <c r="G20" s="105" t="s">
        <v>176</v>
      </c>
      <c r="H20" s="105"/>
      <c r="I20" s="105"/>
      <c r="K20" s="87"/>
      <c r="L20" s="131" t="s">
        <v>329</v>
      </c>
      <c r="M20" s="89">
        <v>57.9</v>
      </c>
      <c r="N20" s="92">
        <v>-0.7</v>
      </c>
      <c r="O20" s="87">
        <v>5.4</v>
      </c>
      <c r="P20" s="145"/>
      <c r="Q20" s="101" t="s">
        <v>330</v>
      </c>
      <c r="R20" s="154" t="s">
        <v>118</v>
      </c>
      <c r="S20" s="87">
        <v>8.8</v>
      </c>
      <c r="T20" s="74"/>
      <c r="U20" s="100" t="s">
        <v>331</v>
      </c>
      <c r="V20" s="170" t="s">
        <v>118</v>
      </c>
      <c r="W20" s="89">
        <v>1736.54032240613</v>
      </c>
      <c r="X20" s="87">
        <v>7.80124125181317</v>
      </c>
      <c r="Y20" s="177"/>
      <c r="Z20" s="100" t="s">
        <v>332</v>
      </c>
      <c r="AA20" s="89">
        <v>14</v>
      </c>
      <c r="AB20" s="111" t="s">
        <v>118</v>
      </c>
      <c r="AC20" s="189"/>
      <c r="AD20" s="87"/>
      <c r="AE20" s="160" t="s">
        <v>333</v>
      </c>
      <c r="AF20" s="190">
        <v>1.03</v>
      </c>
      <c r="AG20" s="179">
        <v>-0.04</v>
      </c>
      <c r="AH20" s="145"/>
      <c r="AI20" s="136" t="s">
        <v>334</v>
      </c>
      <c r="AJ20" s="198">
        <v>0.28125</v>
      </c>
      <c r="AK20" s="87">
        <v>-90.2</v>
      </c>
      <c r="AL20" s="138"/>
      <c r="AM20" s="159" t="s">
        <v>335</v>
      </c>
      <c r="AN20" s="103">
        <v>10762</v>
      </c>
      <c r="AO20" s="223">
        <v>7.2</v>
      </c>
      <c r="AP20" s="87"/>
      <c r="AQ20" s="158" t="s">
        <v>336</v>
      </c>
      <c r="AR20" s="214"/>
      <c r="AS20" s="233"/>
      <c r="AT20" s="231"/>
      <c r="AU20" s="231"/>
      <c r="AV20" s="231"/>
      <c r="AW20" s="105"/>
      <c r="AX20" s="105"/>
      <c r="AY20" s="105"/>
      <c r="AZ20" s="111"/>
      <c r="BA20" s="215" t="s">
        <v>75</v>
      </c>
      <c r="BB20" s="82" t="s">
        <v>240</v>
      </c>
      <c r="BC20" s="252" t="s">
        <v>77</v>
      </c>
      <c r="BD20" s="73"/>
      <c r="BE20" s="73"/>
      <c r="BF20" s="160" t="s">
        <v>337</v>
      </c>
      <c r="BG20" s="269">
        <v>1.67</v>
      </c>
      <c r="BH20" s="261">
        <v>-7</v>
      </c>
      <c r="BJ20" s="71"/>
      <c r="BK20" s="71"/>
      <c r="BL20" s="71"/>
      <c r="BM20" s="71"/>
      <c r="BO20" s="105" t="s">
        <v>176</v>
      </c>
      <c r="BP20" s="105"/>
      <c r="BQ20" s="105"/>
      <c r="BR20" s="292"/>
      <c r="BS20" s="105" t="s">
        <v>176</v>
      </c>
      <c r="BT20" s="105"/>
      <c r="BU20" s="105"/>
      <c r="BV20" s="290"/>
      <c r="BW20" s="105"/>
      <c r="BX20" s="105"/>
      <c r="BY20" s="105"/>
      <c r="BZ20" s="303"/>
      <c r="CA20" s="302"/>
      <c r="CB20" s="291"/>
      <c r="CC20" s="291"/>
      <c r="CD20" s="291"/>
      <c r="CE20" s="282"/>
      <c r="CF20" s="302"/>
      <c r="CG20" s="291"/>
      <c r="CH20" s="291"/>
      <c r="CI20" s="291"/>
      <c r="CJ20" s="282"/>
      <c r="CK20" s="302"/>
      <c r="CL20" s="291"/>
      <c r="CM20" s="291"/>
      <c r="CN20" s="291"/>
      <c r="CO20" s="228"/>
      <c r="CP20" s="105"/>
      <c r="CQ20" s="105"/>
      <c r="CR20" s="105"/>
      <c r="CS20" s="105"/>
      <c r="CT20" s="105"/>
      <c r="CU20" s="228"/>
      <c r="CV20" s="91"/>
      <c r="CY20" s="228"/>
      <c r="CZ20" s="105"/>
      <c r="DA20" s="105"/>
      <c r="DB20" s="105"/>
      <c r="DC20" s="321"/>
      <c r="DG20" s="326"/>
      <c r="DH20" s="91"/>
      <c r="DI20" s="91"/>
      <c r="DJ20" s="91"/>
      <c r="DK20" s="329"/>
      <c r="DL20" s="302"/>
      <c r="DM20" s="335"/>
      <c r="DN20" s="335"/>
    </row>
    <row r="21" s="68" customFormat="1" ht="13.5" customHeight="1" spans="2:118">
      <c r="B21" s="100" t="s">
        <v>338</v>
      </c>
      <c r="C21" s="89">
        <v>147.654770961249</v>
      </c>
      <c r="D21" s="92">
        <v>14.540796322208</v>
      </c>
      <c r="E21" s="87">
        <v>2.58344051701815</v>
      </c>
      <c r="F21" s="75"/>
      <c r="G21" s="87"/>
      <c r="H21" s="87"/>
      <c r="I21" s="87"/>
      <c r="J21" s="74"/>
      <c r="K21" s="87"/>
      <c r="L21" s="135" t="s">
        <v>339</v>
      </c>
      <c r="M21" s="89">
        <v>46</v>
      </c>
      <c r="N21" s="92">
        <v>16.5</v>
      </c>
      <c r="O21" s="87">
        <v>4.3</v>
      </c>
      <c r="P21" s="145"/>
      <c r="Q21" s="130" t="s">
        <v>340</v>
      </c>
      <c r="R21" s="155" t="s">
        <v>118</v>
      </c>
      <c r="S21" s="120">
        <v>18.1702720700805</v>
      </c>
      <c r="T21" s="74"/>
      <c r="U21" s="130" t="s">
        <v>341</v>
      </c>
      <c r="V21" s="171" t="s">
        <v>118</v>
      </c>
      <c r="W21" s="103">
        <v>338.01667759387</v>
      </c>
      <c r="X21" s="120">
        <v>-0.759801325604698</v>
      </c>
      <c r="Y21" s="178"/>
      <c r="Z21" s="100" t="s">
        <v>342</v>
      </c>
      <c r="AA21" s="89">
        <v>13</v>
      </c>
      <c r="AB21" s="111" t="s">
        <v>118</v>
      </c>
      <c r="AC21" s="189"/>
      <c r="AD21" s="191"/>
      <c r="AE21" s="176"/>
      <c r="AF21" s="176"/>
      <c r="AH21" s="87"/>
      <c r="AI21" s="136" t="s">
        <v>343</v>
      </c>
      <c r="AJ21" s="202">
        <v>3.92021</v>
      </c>
      <c r="AK21" s="87">
        <v>-43.3</v>
      </c>
      <c r="AL21" s="138"/>
      <c r="AM21" s="105" t="s">
        <v>176</v>
      </c>
      <c r="AN21" s="105"/>
      <c r="AO21" s="105"/>
      <c r="AP21" s="87"/>
      <c r="AQ21" s="158" t="s">
        <v>344</v>
      </c>
      <c r="AR21" s="222">
        <v>13</v>
      </c>
      <c r="AS21" s="189" t="s">
        <v>118</v>
      </c>
      <c r="AT21" s="231"/>
      <c r="AU21" s="231"/>
      <c r="AV21" s="231"/>
      <c r="AW21" s="91"/>
      <c r="AX21" s="91"/>
      <c r="AY21" s="91"/>
      <c r="AZ21" s="111"/>
      <c r="BA21" s="239" t="s">
        <v>345</v>
      </c>
      <c r="BB21" s="92">
        <v>114.9</v>
      </c>
      <c r="BC21" s="253">
        <v>7.7</v>
      </c>
      <c r="BD21" s="73"/>
      <c r="BE21" s="73"/>
      <c r="BJ21" s="71"/>
      <c r="BK21" s="71"/>
      <c r="BL21" s="71"/>
      <c r="BM21" s="91"/>
      <c r="BO21" s="91"/>
      <c r="BR21" s="292"/>
      <c r="BS21" s="91"/>
      <c r="BV21" s="290"/>
      <c r="BW21" s="91"/>
      <c r="BZ21" s="303"/>
      <c r="CE21" s="282"/>
      <c r="CF21" s="105"/>
      <c r="CG21" s="105"/>
      <c r="CH21" s="105"/>
      <c r="CI21" s="105"/>
      <c r="CJ21" s="282"/>
      <c r="CK21" s="105"/>
      <c r="CL21" s="105"/>
      <c r="CM21" s="105"/>
      <c r="CN21" s="105"/>
      <c r="CO21" s="228"/>
      <c r="CP21" s="290"/>
      <c r="CQ21" s="290"/>
      <c r="CS21" s="73"/>
      <c r="CT21" s="73"/>
      <c r="CU21" s="228"/>
      <c r="CV21" s="286"/>
      <c r="CW21" s="286"/>
      <c r="CX21" s="286"/>
      <c r="CY21" s="228"/>
      <c r="CZ21" s="91"/>
      <c r="DC21" s="321"/>
      <c r="DG21" s="326"/>
      <c r="DH21" s="286"/>
      <c r="DI21" s="286"/>
      <c r="DJ21" s="286"/>
      <c r="DK21" s="329"/>
      <c r="DL21" s="286"/>
      <c r="DM21" s="286"/>
      <c r="DN21" s="286"/>
    </row>
    <row r="22" s="68" customFormat="1" customHeight="1" spans="2:118">
      <c r="B22" s="100" t="s">
        <v>346</v>
      </c>
      <c r="C22" s="89">
        <v>72.6108606840177</v>
      </c>
      <c r="D22" s="92">
        <v>1.2091226796267</v>
      </c>
      <c r="E22" s="87">
        <v>1.27043534215283</v>
      </c>
      <c r="F22" s="75"/>
      <c r="G22" s="74"/>
      <c r="H22" s="74"/>
      <c r="I22" s="74"/>
      <c r="J22" s="74"/>
      <c r="K22" s="136"/>
      <c r="L22" s="131" t="s">
        <v>347</v>
      </c>
      <c r="M22" s="89">
        <v>41</v>
      </c>
      <c r="N22" s="92">
        <v>1.1</v>
      </c>
      <c r="O22" s="87">
        <v>3.8</v>
      </c>
      <c r="P22" s="145"/>
      <c r="Q22" s="101" t="s">
        <v>348</v>
      </c>
      <c r="R22" s="154" t="s">
        <v>118</v>
      </c>
      <c r="S22" s="87">
        <v>5.7</v>
      </c>
      <c r="T22" s="74"/>
      <c r="U22" s="100" t="s">
        <v>349</v>
      </c>
      <c r="V22" s="89"/>
      <c r="W22" s="89"/>
      <c r="X22" s="87"/>
      <c r="Y22" s="78"/>
      <c r="Z22" s="100" t="s">
        <v>350</v>
      </c>
      <c r="AA22" s="89">
        <v>1</v>
      </c>
      <c r="AB22" s="111" t="s">
        <v>118</v>
      </c>
      <c r="AC22" s="189"/>
      <c r="AD22" s="191"/>
      <c r="AH22" s="192"/>
      <c r="AI22" s="203" t="s">
        <v>315</v>
      </c>
      <c r="AJ22" s="203"/>
      <c r="AK22" s="203"/>
      <c r="AL22" s="138"/>
      <c r="AM22" s="111"/>
      <c r="AN22" s="111"/>
      <c r="AO22" s="111"/>
      <c r="AP22" s="87"/>
      <c r="AQ22" s="158" t="s">
        <v>351</v>
      </c>
      <c r="AR22" s="222">
        <v>14</v>
      </c>
      <c r="AS22" s="189" t="s">
        <v>118</v>
      </c>
      <c r="AT22" s="231"/>
      <c r="AU22" s="231"/>
      <c r="AV22" s="231"/>
      <c r="AW22" s="73"/>
      <c r="AX22" s="73"/>
      <c r="AY22" s="73"/>
      <c r="AZ22" s="231"/>
      <c r="BA22" s="239" t="s">
        <v>352</v>
      </c>
      <c r="BB22" s="254">
        <v>96.1</v>
      </c>
      <c r="BC22" s="255">
        <v>13.3</v>
      </c>
      <c r="BD22" s="73"/>
      <c r="BE22" s="73"/>
      <c r="BF22" s="73"/>
      <c r="BJ22" s="71"/>
      <c r="BK22" s="71"/>
      <c r="BL22" s="71"/>
      <c r="BM22" s="71"/>
      <c r="BO22" s="105"/>
      <c r="BP22" s="105"/>
      <c r="BQ22" s="105"/>
      <c r="BR22" s="292"/>
      <c r="BS22" s="105"/>
      <c r="BT22" s="105"/>
      <c r="BU22" s="105"/>
      <c r="BV22" s="290"/>
      <c r="BW22" s="91"/>
      <c r="BZ22" s="303"/>
      <c r="CA22" s="290"/>
      <c r="CB22" s="290"/>
      <c r="CE22" s="282"/>
      <c r="CF22" s="290"/>
      <c r="CG22" s="290"/>
      <c r="CI22" s="73"/>
      <c r="CJ22" s="282"/>
      <c r="CK22" s="290"/>
      <c r="CL22" s="290"/>
      <c r="CN22" s="73"/>
      <c r="CO22" s="310"/>
      <c r="CP22" s="310"/>
      <c r="CQ22" s="310"/>
      <c r="CR22" s="310"/>
      <c r="CS22" s="310"/>
      <c r="CT22" s="310"/>
      <c r="CU22" s="228"/>
      <c r="CV22" s="290"/>
      <c r="CW22" s="290"/>
      <c r="CY22" s="228"/>
      <c r="DA22" s="274"/>
      <c r="DB22" s="323"/>
      <c r="DC22" s="321"/>
      <c r="DD22" s="302"/>
      <c r="DE22" s="321"/>
      <c r="DF22" s="321"/>
      <c r="DG22" s="326"/>
      <c r="DH22" s="91"/>
      <c r="DI22" s="91"/>
      <c r="DJ22" s="91"/>
      <c r="DK22" s="286"/>
      <c r="DL22" s="91"/>
      <c r="DM22" s="91"/>
      <c r="DN22" s="91"/>
    </row>
    <row r="23" s="68" customFormat="1" ht="17.25" customHeight="1" spans="2:116">
      <c r="B23" s="100" t="s">
        <v>353</v>
      </c>
      <c r="C23" s="89">
        <v>713.058469852013</v>
      </c>
      <c r="D23" s="92">
        <v>3.51354452828121</v>
      </c>
      <c r="E23" s="87">
        <v>12.476021804281</v>
      </c>
      <c r="F23" s="75"/>
      <c r="G23" s="74"/>
      <c r="H23" s="74"/>
      <c r="I23" s="74"/>
      <c r="J23" s="74"/>
      <c r="L23" s="137" t="s">
        <v>354</v>
      </c>
      <c r="M23" s="89">
        <v>41.5</v>
      </c>
      <c r="N23" s="92">
        <v>0.8</v>
      </c>
      <c r="O23" s="87">
        <v>3.9</v>
      </c>
      <c r="P23" s="145"/>
      <c r="Q23" s="100" t="s">
        <v>355</v>
      </c>
      <c r="R23" s="154" t="s">
        <v>118</v>
      </c>
      <c r="S23" s="87">
        <v>-4.7</v>
      </c>
      <c r="T23" s="74"/>
      <c r="U23" s="100" t="s">
        <v>356</v>
      </c>
      <c r="V23" s="89">
        <v>219.81534</v>
      </c>
      <c r="W23" s="89">
        <v>648.4449</v>
      </c>
      <c r="X23" s="87">
        <v>34.6</v>
      </c>
      <c r="Y23" s="78"/>
      <c r="Z23" s="100" t="s">
        <v>357</v>
      </c>
      <c r="AA23" s="92">
        <v>14.0414</v>
      </c>
      <c r="AB23" s="87">
        <v>-43.62</v>
      </c>
      <c r="AC23" s="87"/>
      <c r="AD23" s="191"/>
      <c r="AH23" s="192"/>
      <c r="AI23" s="136"/>
      <c r="AJ23" s="136"/>
      <c r="AK23" s="136"/>
      <c r="AL23" s="138"/>
      <c r="AM23" s="91"/>
      <c r="AN23" s="91"/>
      <c r="AP23" s="87"/>
      <c r="AQ23" s="219" t="s">
        <v>358</v>
      </c>
      <c r="AR23" s="133">
        <v>17.96</v>
      </c>
      <c r="AS23" s="234" t="s">
        <v>118</v>
      </c>
      <c r="AT23" s="73"/>
      <c r="AU23" s="91"/>
      <c r="AV23" s="231"/>
      <c r="AW23" s="189"/>
      <c r="AX23" s="73"/>
      <c r="AY23" s="73"/>
      <c r="AZ23" s="231"/>
      <c r="BA23" s="88" t="s">
        <v>359</v>
      </c>
      <c r="BB23" s="254">
        <v>10.8</v>
      </c>
      <c r="BC23" s="255">
        <v>10.9</v>
      </c>
      <c r="BD23" s="73"/>
      <c r="BE23" s="73"/>
      <c r="BF23" s="73"/>
      <c r="BG23" s="73"/>
      <c r="BO23" s="105"/>
      <c r="BP23" s="105"/>
      <c r="BQ23" s="105"/>
      <c r="BR23" s="286"/>
      <c r="BS23" s="105"/>
      <c r="BT23" s="105"/>
      <c r="BU23" s="105"/>
      <c r="BV23" s="290"/>
      <c r="BW23" s="91"/>
      <c r="BY23" s="71"/>
      <c r="BZ23" s="303"/>
      <c r="CE23" s="282"/>
      <c r="CJ23" s="282"/>
      <c r="CO23" s="310"/>
      <c r="CP23" s="310"/>
      <c r="CQ23" s="310"/>
      <c r="CR23" s="310"/>
      <c r="CS23" s="310"/>
      <c r="CT23" s="310"/>
      <c r="CU23" s="228"/>
      <c r="CV23" s="228"/>
      <c r="CW23" s="228"/>
      <c r="CX23" s="73"/>
      <c r="CY23" s="228"/>
      <c r="DC23" s="321"/>
      <c r="DD23" s="321"/>
      <c r="DE23" s="321"/>
      <c r="DF23" s="321"/>
      <c r="DG23" s="326"/>
      <c r="DK23" s="329"/>
      <c r="DL23" s="330"/>
    </row>
    <row r="24" s="68" customFormat="1" ht="16.5" spans="2:115">
      <c r="B24" s="100" t="s">
        <v>360</v>
      </c>
      <c r="C24" s="89">
        <v>417.003479036646</v>
      </c>
      <c r="D24" s="92">
        <v>1.60942441657503</v>
      </c>
      <c r="E24" s="87">
        <v>7.29609802966361</v>
      </c>
      <c r="F24" s="123"/>
      <c r="G24" s="74"/>
      <c r="H24" s="74"/>
      <c r="I24" s="74"/>
      <c r="J24" s="74"/>
      <c r="K24" s="138"/>
      <c r="L24" s="131" t="s">
        <v>361</v>
      </c>
      <c r="M24" s="89">
        <v>43.4</v>
      </c>
      <c r="N24" s="92">
        <v>1.6</v>
      </c>
      <c r="O24" s="87">
        <v>4</v>
      </c>
      <c r="P24" s="145"/>
      <c r="Q24" s="130" t="s">
        <v>362</v>
      </c>
      <c r="R24" s="155" t="s">
        <v>118</v>
      </c>
      <c r="S24" s="120">
        <v>-2</v>
      </c>
      <c r="T24" s="74"/>
      <c r="U24" s="100" t="s">
        <v>363</v>
      </c>
      <c r="V24" s="89">
        <v>109.99282</v>
      </c>
      <c r="W24" s="89">
        <v>297.69809</v>
      </c>
      <c r="X24" s="87">
        <v>16.8</v>
      </c>
      <c r="Y24" s="78"/>
      <c r="Z24" s="100" t="s">
        <v>364</v>
      </c>
      <c r="AA24" s="92">
        <v>5.6734</v>
      </c>
      <c r="AB24" s="87">
        <v>-64.21</v>
      </c>
      <c r="AC24" s="189"/>
      <c r="AD24" s="191"/>
      <c r="AE24" s="71"/>
      <c r="AF24" s="71"/>
      <c r="AJ24" s="204"/>
      <c r="AK24" s="204"/>
      <c r="AL24" s="138"/>
      <c r="AM24" s="77"/>
      <c r="AN24" s="77"/>
      <c r="AO24" s="77"/>
      <c r="AP24" s="87"/>
      <c r="AQ24" s="176"/>
      <c r="AR24" s="176"/>
      <c r="AS24" s="73"/>
      <c r="AT24" s="73"/>
      <c r="AV24" s="231"/>
      <c r="AW24" s="189"/>
      <c r="AX24" s="73"/>
      <c r="AY24" s="73"/>
      <c r="AZ24" s="231"/>
      <c r="BA24" s="100" t="s">
        <v>365</v>
      </c>
      <c r="BB24" s="92">
        <v>10.1</v>
      </c>
      <c r="BC24" s="256">
        <v>13.7</v>
      </c>
      <c r="BD24" s="73"/>
      <c r="BE24" s="73"/>
      <c r="BF24" s="73"/>
      <c r="BG24" s="73"/>
      <c r="BH24" s="73"/>
      <c r="BR24" s="290"/>
      <c r="BV24" s="290"/>
      <c r="BW24" s="91"/>
      <c r="BZ24" s="303"/>
      <c r="CE24" s="282"/>
      <c r="CJ24" s="282"/>
      <c r="CK24" s="91"/>
      <c r="CO24" s="310"/>
      <c r="CP24" s="310"/>
      <c r="CQ24" s="310"/>
      <c r="CR24" s="310"/>
      <c r="CS24" s="310"/>
      <c r="CT24" s="310"/>
      <c r="CU24" s="228"/>
      <c r="CV24" s="228"/>
      <c r="CW24" s="228"/>
      <c r="CX24" s="228"/>
      <c r="CY24" s="228"/>
      <c r="DC24" s="321"/>
      <c r="DD24" s="321"/>
      <c r="DE24" s="321"/>
      <c r="DF24" s="321"/>
      <c r="DG24" s="326"/>
      <c r="DK24" s="329"/>
    </row>
    <row r="25" s="68" customFormat="1" customHeight="1" spans="2:115">
      <c r="B25" s="100" t="s">
        <v>366</v>
      </c>
      <c r="C25" s="89">
        <v>2058.00276680305</v>
      </c>
      <c r="D25" s="92">
        <v>6.2598250343719</v>
      </c>
      <c r="E25" s="87">
        <v>36.0078289193229</v>
      </c>
      <c r="F25" s="75"/>
      <c r="G25" s="74"/>
      <c r="H25" s="74"/>
      <c r="I25" s="74"/>
      <c r="J25" s="74"/>
      <c r="K25" s="138"/>
      <c r="L25" s="135" t="s">
        <v>367</v>
      </c>
      <c r="M25" s="89">
        <v>34.4</v>
      </c>
      <c r="N25" s="92">
        <v>4.5</v>
      </c>
      <c r="O25" s="87">
        <v>3.2</v>
      </c>
      <c r="P25" s="145"/>
      <c r="Q25" s="101" t="s">
        <v>368</v>
      </c>
      <c r="R25" s="154" t="s">
        <v>118</v>
      </c>
      <c r="S25" s="87">
        <v>4.6</v>
      </c>
      <c r="T25" s="74"/>
      <c r="U25" s="100" t="s">
        <v>369</v>
      </c>
      <c r="V25" s="89">
        <v>66.11314</v>
      </c>
      <c r="W25" s="89">
        <v>169.78317</v>
      </c>
      <c r="X25" s="87">
        <v>69.6</v>
      </c>
      <c r="Y25" s="78"/>
      <c r="Z25" s="100" t="s">
        <v>370</v>
      </c>
      <c r="AA25" s="92">
        <v>8.368</v>
      </c>
      <c r="AB25" s="87">
        <v>-7.54</v>
      </c>
      <c r="AC25" s="189"/>
      <c r="AD25" s="191"/>
      <c r="AE25" s="71"/>
      <c r="AF25" s="71"/>
      <c r="AG25" s="71"/>
      <c r="AH25" s="193"/>
      <c r="AI25" s="193"/>
      <c r="AJ25" s="205"/>
      <c r="AK25" s="205"/>
      <c r="AL25" s="138"/>
      <c r="AM25" s="77"/>
      <c r="AN25" s="77"/>
      <c r="AO25" s="77"/>
      <c r="AP25" s="87"/>
      <c r="AQ25" s="73"/>
      <c r="AR25" s="73"/>
      <c r="AS25" s="73"/>
      <c r="AT25" s="73"/>
      <c r="AU25" s="73"/>
      <c r="AV25" s="231"/>
      <c r="AW25" s="189"/>
      <c r="AX25" s="73"/>
      <c r="AY25" s="73"/>
      <c r="AZ25" s="231"/>
      <c r="BA25" s="257"/>
      <c r="BB25" s="257"/>
      <c r="BC25" s="257"/>
      <c r="BD25" s="73"/>
      <c r="BE25" s="73"/>
      <c r="BF25" s="73"/>
      <c r="BG25" s="73"/>
      <c r="BH25" s="73"/>
      <c r="BR25" s="290"/>
      <c r="BV25" s="290"/>
      <c r="BW25" s="91"/>
      <c r="BX25" s="299"/>
      <c r="BZ25" s="303"/>
      <c r="CE25" s="282"/>
      <c r="CF25" s="73"/>
      <c r="CG25" s="73"/>
      <c r="CH25" s="73"/>
      <c r="CI25" s="73"/>
      <c r="CJ25" s="282"/>
      <c r="CK25" s="77"/>
      <c r="CL25" s="73"/>
      <c r="CO25" s="310"/>
      <c r="CP25" s="310"/>
      <c r="CQ25" s="310"/>
      <c r="CR25" s="310"/>
      <c r="CS25" s="310"/>
      <c r="CT25" s="310"/>
      <c r="CU25" s="228"/>
      <c r="CV25" s="228"/>
      <c r="CW25" s="228"/>
      <c r="CX25" s="228"/>
      <c r="CY25" s="228"/>
      <c r="DC25" s="321"/>
      <c r="DD25" s="321"/>
      <c r="DE25" s="321"/>
      <c r="DF25" s="321"/>
      <c r="DG25" s="326"/>
      <c r="DK25" s="329"/>
    </row>
    <row r="26" s="68" customFormat="1" ht="17.25" customHeight="1" spans="2:122">
      <c r="B26" s="97" t="s">
        <v>371</v>
      </c>
      <c r="C26" s="103">
        <v>571.930280986282</v>
      </c>
      <c r="D26" s="104">
        <v>2.02465750070768</v>
      </c>
      <c r="E26" s="120">
        <v>10.0067735786019</v>
      </c>
      <c r="F26" s="75"/>
      <c r="G26" s="74"/>
      <c r="H26" s="74"/>
      <c r="I26" s="74"/>
      <c r="J26" s="74"/>
      <c r="K26" s="138"/>
      <c r="L26" s="139" t="s">
        <v>372</v>
      </c>
      <c r="M26" s="147">
        <v>33.3</v>
      </c>
      <c r="N26" s="148">
        <v>3.8</v>
      </c>
      <c r="O26" s="134">
        <v>3.1</v>
      </c>
      <c r="P26" s="145"/>
      <c r="Q26" s="156" t="s">
        <v>373</v>
      </c>
      <c r="R26" s="147" t="s">
        <v>118</v>
      </c>
      <c r="S26" s="134">
        <v>15.0941620508799</v>
      </c>
      <c r="T26" s="74"/>
      <c r="U26" s="116" t="s">
        <v>374</v>
      </c>
      <c r="V26" s="89">
        <v>35.41605</v>
      </c>
      <c r="W26" s="89">
        <v>108.47277</v>
      </c>
      <c r="X26" s="87">
        <v>-21</v>
      </c>
      <c r="Y26" s="78"/>
      <c r="Z26" s="160" t="s">
        <v>375</v>
      </c>
      <c r="AA26" s="148">
        <v>9.9343</v>
      </c>
      <c r="AB26" s="179">
        <v>-43.45</v>
      </c>
      <c r="AC26" s="192"/>
      <c r="AD26" s="191"/>
      <c r="AE26" s="71"/>
      <c r="AF26" s="71"/>
      <c r="AG26" s="71"/>
      <c r="AH26" s="108"/>
      <c r="AI26" s="108"/>
      <c r="AJ26" s="206"/>
      <c r="AL26" s="138"/>
      <c r="AM26" s="77"/>
      <c r="AN26" s="77"/>
      <c r="AO26" s="77"/>
      <c r="AP26" s="87"/>
      <c r="AQ26" s="73"/>
      <c r="AR26" s="73"/>
      <c r="AS26" s="73"/>
      <c r="AT26" s="73"/>
      <c r="AV26" s="78"/>
      <c r="AW26" s="189"/>
      <c r="AX26" s="73"/>
      <c r="AY26" s="73"/>
      <c r="AZ26" s="78"/>
      <c r="BA26" s="73"/>
      <c r="BB26" s="73"/>
      <c r="BC26" s="73"/>
      <c r="BD26" s="73"/>
      <c r="BE26" s="73"/>
      <c r="BF26" s="73"/>
      <c r="BG26" s="73"/>
      <c r="BH26" s="73"/>
      <c r="BI26" s="274"/>
      <c r="BQ26" s="71"/>
      <c r="BR26" s="290"/>
      <c r="BV26" s="290"/>
      <c r="BW26" s="77"/>
      <c r="BZ26" s="303"/>
      <c r="CD26" s="71"/>
      <c r="CE26" s="282"/>
      <c r="CF26" s="73"/>
      <c r="CG26" s="73"/>
      <c r="CH26" s="73"/>
      <c r="CI26" s="71"/>
      <c r="CJ26" s="282"/>
      <c r="CK26" s="77"/>
      <c r="CL26" s="73"/>
      <c r="CN26" s="71"/>
      <c r="CO26" s="310"/>
      <c r="CP26" s="310"/>
      <c r="CQ26" s="310"/>
      <c r="CR26" s="310"/>
      <c r="CS26" s="310"/>
      <c r="CT26" s="310"/>
      <c r="CU26" s="228"/>
      <c r="CV26" s="228"/>
      <c r="CW26" s="228"/>
      <c r="CX26" s="228"/>
      <c r="CY26" s="228"/>
      <c r="DC26" s="321"/>
      <c r="DD26" s="321"/>
      <c r="DE26" s="321"/>
      <c r="DF26" s="321"/>
      <c r="DG26" s="326"/>
      <c r="DK26" s="329"/>
      <c r="DP26" s="71"/>
      <c r="DQ26" s="71"/>
      <c r="DR26" s="71"/>
    </row>
    <row r="27" s="71" customFormat="1" spans="2:118">
      <c r="B27" s="105" t="s">
        <v>176</v>
      </c>
      <c r="C27" s="105"/>
      <c r="D27" s="105"/>
      <c r="E27" s="105"/>
      <c r="F27" s="75"/>
      <c r="G27" s="74"/>
      <c r="H27" s="74"/>
      <c r="I27" s="74"/>
      <c r="J27" s="74"/>
      <c r="K27" s="138"/>
      <c r="L27" s="140" t="s">
        <v>376</v>
      </c>
      <c r="M27" s="140"/>
      <c r="N27" s="140"/>
      <c r="O27" s="140"/>
      <c r="P27" s="149"/>
      <c r="Q27" s="105"/>
      <c r="R27" s="105"/>
      <c r="S27" s="74"/>
      <c r="T27" s="74"/>
      <c r="U27" s="116" t="s">
        <v>377</v>
      </c>
      <c r="V27" s="89">
        <v>51.66938</v>
      </c>
      <c r="W27" s="89">
        <v>178.10159</v>
      </c>
      <c r="X27" s="87">
        <v>6.7</v>
      </c>
      <c r="Y27" s="180"/>
      <c r="Z27" s="105"/>
      <c r="AA27" s="105"/>
      <c r="AB27" s="105"/>
      <c r="AC27" s="91"/>
      <c r="AE27" s="68"/>
      <c r="AF27" s="68"/>
      <c r="AG27" s="68"/>
      <c r="AH27" s="87"/>
      <c r="AI27" s="87"/>
      <c r="AJ27" s="207"/>
      <c r="AK27" s="207"/>
      <c r="AL27" s="78"/>
      <c r="AM27" s="77"/>
      <c r="AN27" s="77"/>
      <c r="AO27" s="77"/>
      <c r="AP27" s="87"/>
      <c r="AQ27" s="73"/>
      <c r="AR27" s="73"/>
      <c r="AS27" s="73"/>
      <c r="AT27" s="73"/>
      <c r="AU27" s="73"/>
      <c r="AV27" s="78"/>
      <c r="AW27" s="78"/>
      <c r="AX27" s="73"/>
      <c r="AY27" s="73"/>
      <c r="AZ27" s="78"/>
      <c r="BA27" s="73"/>
      <c r="BB27" s="73"/>
      <c r="BC27" s="73"/>
      <c r="BD27" s="73"/>
      <c r="BE27" s="73"/>
      <c r="BF27" s="73"/>
      <c r="BG27" s="73"/>
      <c r="BH27" s="73"/>
      <c r="BI27" s="149"/>
      <c r="BJ27" s="68"/>
      <c r="BK27" s="68"/>
      <c r="BL27" s="68"/>
      <c r="BM27" s="68"/>
      <c r="BO27" s="68"/>
      <c r="BP27" s="68"/>
      <c r="BQ27" s="68"/>
      <c r="BR27" s="290"/>
      <c r="BS27" s="68"/>
      <c r="BT27" s="68"/>
      <c r="BV27" s="290"/>
      <c r="BW27" s="77"/>
      <c r="BX27" s="73"/>
      <c r="BY27" s="73"/>
      <c r="BZ27" s="303"/>
      <c r="CA27" s="68"/>
      <c r="CB27" s="68"/>
      <c r="CC27" s="68"/>
      <c r="CD27" s="68"/>
      <c r="CE27" s="282"/>
      <c r="CF27" s="73"/>
      <c r="CG27" s="73"/>
      <c r="CH27" s="73"/>
      <c r="CI27" s="73"/>
      <c r="CJ27" s="282"/>
      <c r="CK27" s="77"/>
      <c r="CL27" s="73"/>
      <c r="CM27" s="68"/>
      <c r="CN27" s="68"/>
      <c r="CO27" s="310"/>
      <c r="CP27" s="310"/>
      <c r="CQ27" s="310"/>
      <c r="CR27" s="310"/>
      <c r="CS27" s="310"/>
      <c r="CT27" s="310"/>
      <c r="CU27" s="228"/>
      <c r="CV27" s="228"/>
      <c r="CW27" s="228"/>
      <c r="CX27" s="228"/>
      <c r="CY27" s="228"/>
      <c r="CZ27" s="68"/>
      <c r="DA27" s="68"/>
      <c r="DB27" s="68"/>
      <c r="DC27" s="321"/>
      <c r="DD27" s="321"/>
      <c r="DE27" s="321"/>
      <c r="DF27" s="321"/>
      <c r="DG27" s="326"/>
      <c r="DH27" s="68"/>
      <c r="DI27" s="68"/>
      <c r="DJ27" s="68"/>
      <c r="DK27" s="329"/>
      <c r="DL27" s="68"/>
      <c r="DM27" s="68"/>
      <c r="DN27" s="68"/>
    </row>
    <row r="28" s="71" customFormat="1" ht="20.25" customHeight="1" spans="2:118">
      <c r="B28" s="73"/>
      <c r="C28" s="74"/>
      <c r="D28" s="74"/>
      <c r="E28" s="74"/>
      <c r="F28" s="75"/>
      <c r="G28" s="74"/>
      <c r="H28" s="74"/>
      <c r="I28" s="74"/>
      <c r="J28" s="74"/>
      <c r="K28" s="138"/>
      <c r="L28" s="105"/>
      <c r="M28" s="105"/>
      <c r="N28" s="105"/>
      <c r="O28" s="105"/>
      <c r="P28" s="87"/>
      <c r="Q28" s="74"/>
      <c r="R28" s="74"/>
      <c r="S28" s="74"/>
      <c r="T28" s="74"/>
      <c r="U28" s="116" t="s">
        <v>378</v>
      </c>
      <c r="V28" s="89">
        <v>29.70221</v>
      </c>
      <c r="W28" s="89">
        <v>80.44532</v>
      </c>
      <c r="X28" s="87">
        <v>2.8</v>
      </c>
      <c r="Y28" s="78"/>
      <c r="Z28" s="73"/>
      <c r="AA28" s="73"/>
      <c r="AB28" s="173"/>
      <c r="AC28" s="73"/>
      <c r="AE28" s="68"/>
      <c r="AF28" s="68"/>
      <c r="AG28" s="68"/>
      <c r="AH28" s="129"/>
      <c r="AI28" s="129"/>
      <c r="AJ28" s="208"/>
      <c r="AK28" s="208"/>
      <c r="AL28" s="78"/>
      <c r="AM28" s="77"/>
      <c r="AN28" s="77"/>
      <c r="AO28" s="77"/>
      <c r="AP28" s="87"/>
      <c r="AQ28" s="73"/>
      <c r="AR28" s="73"/>
      <c r="AS28" s="73"/>
      <c r="AT28" s="73"/>
      <c r="AU28" s="73"/>
      <c r="AV28" s="78"/>
      <c r="AW28" s="78"/>
      <c r="AX28" s="73"/>
      <c r="AY28" s="73"/>
      <c r="AZ28" s="78"/>
      <c r="BA28" s="73"/>
      <c r="BB28" s="73"/>
      <c r="BC28" s="73"/>
      <c r="BD28" s="73"/>
      <c r="BE28" s="73"/>
      <c r="BF28" s="73"/>
      <c r="BG28" s="73"/>
      <c r="BH28" s="73"/>
      <c r="BJ28" s="68"/>
      <c r="BK28" s="68"/>
      <c r="BL28" s="68"/>
      <c r="BM28" s="68"/>
      <c r="BO28" s="68"/>
      <c r="BP28" s="68"/>
      <c r="BQ28" s="68"/>
      <c r="BR28" s="290"/>
      <c r="BS28" s="68"/>
      <c r="BT28" s="68"/>
      <c r="BU28" s="68"/>
      <c r="BV28" s="290"/>
      <c r="BW28" s="77"/>
      <c r="BX28" s="73"/>
      <c r="BY28" s="73"/>
      <c r="BZ28" s="303"/>
      <c r="CA28" s="68"/>
      <c r="CB28" s="68"/>
      <c r="CC28" s="73"/>
      <c r="CD28" s="73"/>
      <c r="CE28" s="282"/>
      <c r="CF28" s="68"/>
      <c r="CG28" s="68"/>
      <c r="CH28" s="68"/>
      <c r="CI28" s="73"/>
      <c r="CJ28" s="282"/>
      <c r="CK28" s="77"/>
      <c r="CL28" s="73"/>
      <c r="CM28" s="68"/>
      <c r="CN28" s="68"/>
      <c r="CO28" s="310"/>
      <c r="CU28" s="228"/>
      <c r="CV28" s="228"/>
      <c r="CW28" s="228"/>
      <c r="CX28" s="228"/>
      <c r="CY28" s="228"/>
      <c r="CZ28" s="68"/>
      <c r="DA28" s="68"/>
      <c r="DB28" s="68"/>
      <c r="DC28" s="321"/>
      <c r="DD28" s="91"/>
      <c r="DE28" s="91"/>
      <c r="DF28" s="91"/>
      <c r="DG28" s="326"/>
      <c r="DH28" s="68"/>
      <c r="DI28" s="68"/>
      <c r="DJ28" s="68"/>
      <c r="DK28" s="329"/>
      <c r="DL28" s="68"/>
      <c r="DM28" s="68"/>
      <c r="DN28" s="68"/>
    </row>
    <row r="29" s="71" customFormat="1" ht="13.5" customHeight="1" spans="2:122">
      <c r="B29" s="87"/>
      <c r="C29" s="87"/>
      <c r="D29" s="87"/>
      <c r="E29" s="74"/>
      <c r="F29" s="75"/>
      <c r="G29" s="74"/>
      <c r="H29" s="74"/>
      <c r="I29" s="74"/>
      <c r="J29" s="74"/>
      <c r="K29" s="138"/>
      <c r="L29" s="105"/>
      <c r="M29" s="105"/>
      <c r="N29" s="105"/>
      <c r="O29" s="105"/>
      <c r="P29" s="87"/>
      <c r="Q29" s="74"/>
      <c r="R29" s="74"/>
      <c r="S29" s="74"/>
      <c r="T29" s="74"/>
      <c r="U29" s="116" t="s">
        <v>379</v>
      </c>
      <c r="V29" s="89">
        <v>30.24081</v>
      </c>
      <c r="W29" s="89">
        <v>92.55234</v>
      </c>
      <c r="X29" s="87">
        <v>-7.3</v>
      </c>
      <c r="Y29" s="78"/>
      <c r="Z29" s="73"/>
      <c r="AA29" s="73"/>
      <c r="AB29" s="73"/>
      <c r="AC29" s="73"/>
      <c r="AE29" s="68"/>
      <c r="AF29" s="68"/>
      <c r="AG29" s="68"/>
      <c r="AH29" s="111"/>
      <c r="AI29" s="111"/>
      <c r="AJ29" s="209"/>
      <c r="AK29" s="209"/>
      <c r="AL29" s="78"/>
      <c r="AM29" s="77"/>
      <c r="AN29" s="77"/>
      <c r="AO29" s="77"/>
      <c r="AP29" s="87"/>
      <c r="AQ29" s="73"/>
      <c r="AR29" s="73"/>
      <c r="AS29" s="73"/>
      <c r="AT29" s="73"/>
      <c r="AU29" s="73"/>
      <c r="AV29" s="78"/>
      <c r="AW29" s="78"/>
      <c r="AX29" s="73"/>
      <c r="AY29" s="73"/>
      <c r="AZ29" s="78"/>
      <c r="BA29" s="73"/>
      <c r="BB29" s="73"/>
      <c r="BC29" s="73"/>
      <c r="BD29" s="73"/>
      <c r="BE29" s="73"/>
      <c r="BF29" s="73"/>
      <c r="BG29" s="73"/>
      <c r="BH29" s="73"/>
      <c r="BJ29" s="78"/>
      <c r="BK29" s="78"/>
      <c r="BL29" s="78"/>
      <c r="BO29" s="73"/>
      <c r="BP29" s="73"/>
      <c r="BQ29" s="73"/>
      <c r="BR29" s="290"/>
      <c r="BS29" s="68"/>
      <c r="BT29" s="68"/>
      <c r="BU29" s="68"/>
      <c r="BV29" s="290"/>
      <c r="BW29" s="68"/>
      <c r="BX29" s="68"/>
      <c r="BY29" s="68"/>
      <c r="BZ29" s="91"/>
      <c r="CA29" s="91"/>
      <c r="CB29" s="68"/>
      <c r="CC29" s="73"/>
      <c r="CD29" s="73"/>
      <c r="CE29" s="68"/>
      <c r="CF29" s="73"/>
      <c r="CG29" s="73"/>
      <c r="CH29" s="73"/>
      <c r="CI29" s="73"/>
      <c r="CJ29" s="78"/>
      <c r="CK29" s="77"/>
      <c r="CL29" s="73"/>
      <c r="CM29" s="68"/>
      <c r="CN29" s="68"/>
      <c r="CP29" s="68"/>
      <c r="CQ29" s="68"/>
      <c r="CR29" s="68"/>
      <c r="CS29" s="68"/>
      <c r="CT29" s="68"/>
      <c r="CU29" s="78"/>
      <c r="CV29" s="78"/>
      <c r="CW29" s="78"/>
      <c r="CX29" s="78"/>
      <c r="CY29" s="78"/>
      <c r="CZ29" s="73"/>
      <c r="DA29" s="73"/>
      <c r="DB29" s="73"/>
      <c r="DC29" s="321"/>
      <c r="DD29" s="91"/>
      <c r="DE29" s="91"/>
      <c r="DF29" s="91"/>
      <c r="DG29" s="326"/>
      <c r="DH29" s="73"/>
      <c r="DI29" s="73"/>
      <c r="DJ29" s="73"/>
      <c r="DK29" s="329"/>
      <c r="DL29" s="68"/>
      <c r="DM29" s="68"/>
      <c r="DN29" s="68"/>
      <c r="DP29" s="68"/>
      <c r="DQ29" s="68"/>
      <c r="DR29" s="68"/>
    </row>
    <row r="30" s="68" customFormat="1" ht="13.5" customHeight="1" spans="2:118">
      <c r="B30" s="73"/>
      <c r="C30" s="74"/>
      <c r="D30" s="74"/>
      <c r="E30" s="74"/>
      <c r="F30" s="75"/>
      <c r="G30" s="74"/>
      <c r="H30" s="74"/>
      <c r="I30" s="74"/>
      <c r="J30" s="74"/>
      <c r="K30" s="138"/>
      <c r="L30" s="141"/>
      <c r="M30" s="150"/>
      <c r="N30" s="150"/>
      <c r="O30" s="74"/>
      <c r="Q30" s="74"/>
      <c r="R30" s="74"/>
      <c r="S30" s="74"/>
      <c r="T30" s="74"/>
      <c r="U30" s="116" t="s">
        <v>380</v>
      </c>
      <c r="V30" s="89">
        <v>31.40893</v>
      </c>
      <c r="W30" s="89">
        <v>77.99823</v>
      </c>
      <c r="X30" s="87">
        <v>9.3</v>
      </c>
      <c r="Y30" s="78"/>
      <c r="AH30" s="87"/>
      <c r="AI30" s="78"/>
      <c r="AJ30" s="73"/>
      <c r="AK30" s="73"/>
      <c r="AL30" s="78"/>
      <c r="AM30" s="77"/>
      <c r="AN30" s="77"/>
      <c r="AO30" s="77"/>
      <c r="AP30" s="87"/>
      <c r="AQ30" s="73"/>
      <c r="AR30" s="73"/>
      <c r="AS30" s="73"/>
      <c r="AT30" s="73"/>
      <c r="AU30" s="77"/>
      <c r="AV30" s="235"/>
      <c r="AW30" s="91"/>
      <c r="AX30" s="73"/>
      <c r="AY30" s="73"/>
      <c r="AZ30" s="235"/>
      <c r="BA30" s="73"/>
      <c r="BB30" s="73"/>
      <c r="BC30" s="73"/>
      <c r="BD30" s="73"/>
      <c r="BE30" s="73"/>
      <c r="BF30" s="73"/>
      <c r="BG30" s="73"/>
      <c r="BH30" s="73"/>
      <c r="BI30" s="91"/>
      <c r="BJ30" s="78"/>
      <c r="BK30" s="78"/>
      <c r="BL30" s="78"/>
      <c r="BO30" s="286"/>
      <c r="BP30" s="73"/>
      <c r="BQ30" s="73"/>
      <c r="BR30" s="290"/>
      <c r="BS30" s="286"/>
      <c r="BT30" s="77"/>
      <c r="BU30" s="73"/>
      <c r="BV30" s="290"/>
      <c r="BX30" s="73"/>
      <c r="BY30" s="73"/>
      <c r="CA30" s="73"/>
      <c r="CC30" s="73"/>
      <c r="CD30" s="73"/>
      <c r="CF30" s="73"/>
      <c r="CH30" s="77"/>
      <c r="CI30" s="73"/>
      <c r="CJ30" s="91"/>
      <c r="CZ30" s="91"/>
      <c r="DA30" s="91"/>
      <c r="DB30" s="91"/>
      <c r="DC30" s="321"/>
      <c r="DD30" s="91"/>
      <c r="DE30" s="77"/>
      <c r="DF30" s="73"/>
      <c r="DG30" s="326"/>
      <c r="DH30" s="91"/>
      <c r="DI30" s="73"/>
      <c r="DJ30" s="73"/>
      <c r="DK30" s="329"/>
      <c r="DL30" s="91"/>
      <c r="DM30" s="73"/>
      <c r="DN30" s="73"/>
    </row>
    <row r="31" s="68" customFormat="1" ht="12.75" spans="2:118">
      <c r="B31" s="73"/>
      <c r="C31" s="74"/>
      <c r="D31" s="74"/>
      <c r="E31" s="74"/>
      <c r="F31" s="75"/>
      <c r="G31" s="74"/>
      <c r="H31" s="74"/>
      <c r="I31" s="74"/>
      <c r="J31" s="74"/>
      <c r="K31" s="138"/>
      <c r="L31" s="141"/>
      <c r="M31" s="150"/>
      <c r="N31" s="150"/>
      <c r="O31" s="74"/>
      <c r="P31" s="74"/>
      <c r="Q31" s="74"/>
      <c r="R31" s="74"/>
      <c r="S31" s="74"/>
      <c r="T31" s="74"/>
      <c r="U31" s="116" t="s">
        <v>381</v>
      </c>
      <c r="V31" s="89">
        <v>31.99185</v>
      </c>
      <c r="W31" s="89">
        <v>83.77841</v>
      </c>
      <c r="X31" s="87">
        <v>48.1</v>
      </c>
      <c r="Z31" s="73"/>
      <c r="AE31" s="87"/>
      <c r="AF31" s="87"/>
      <c r="AG31" s="207"/>
      <c r="AH31" s="207"/>
      <c r="AI31" s="78"/>
      <c r="AJ31" s="73"/>
      <c r="AK31" s="73"/>
      <c r="AL31" s="73"/>
      <c r="AM31" s="77"/>
      <c r="AN31" s="77"/>
      <c r="AO31" s="77"/>
      <c r="AP31" s="77"/>
      <c r="AQ31" s="73"/>
      <c r="AR31" s="73"/>
      <c r="AS31" s="189"/>
      <c r="AT31" s="73"/>
      <c r="AU31" s="73"/>
      <c r="AV31" s="73"/>
      <c r="AW31" s="73"/>
      <c r="AX31" s="73"/>
      <c r="AY31" s="73"/>
      <c r="AZ31" s="73"/>
      <c r="BA31" s="73"/>
      <c r="BB31" s="73"/>
      <c r="BC31" s="73"/>
      <c r="BD31" s="73"/>
      <c r="BE31" s="73"/>
      <c r="BG31" s="73"/>
      <c r="BH31" s="73"/>
      <c r="BI31" s="73"/>
      <c r="BJ31" s="73"/>
      <c r="BK31" s="73"/>
      <c r="BL31" s="73"/>
      <c r="BM31" s="73"/>
      <c r="BN31" s="73"/>
      <c r="BO31" s="91"/>
      <c r="BP31" s="73"/>
      <c r="BQ31" s="73"/>
      <c r="BR31" s="73"/>
      <c r="BT31" s="77"/>
      <c r="BU31" s="73"/>
      <c r="BV31" s="73"/>
      <c r="BX31" s="73"/>
      <c r="BY31" s="73"/>
      <c r="BZ31" s="73"/>
      <c r="CA31" s="73"/>
      <c r="CC31" s="73"/>
      <c r="CD31" s="73"/>
      <c r="CE31" s="73"/>
      <c r="CF31" s="73"/>
      <c r="CG31" s="73"/>
      <c r="CH31" s="77"/>
      <c r="CI31" s="73"/>
      <c r="CK31" s="73"/>
      <c r="CW31" s="73"/>
      <c r="CX31" s="73"/>
      <c r="CY31" s="73"/>
      <c r="CZ31" s="91"/>
      <c r="DA31" s="91"/>
      <c r="DB31" s="91"/>
      <c r="DC31" s="91"/>
      <c r="DD31" s="91"/>
      <c r="DE31" s="77"/>
      <c r="DF31" s="73"/>
      <c r="DG31" s="73"/>
      <c r="DH31" s="91"/>
      <c r="DI31" s="73"/>
      <c r="DJ31" s="73"/>
      <c r="DK31" s="73"/>
      <c r="DL31" s="91"/>
      <c r="DM31" s="73"/>
      <c r="DN31" s="73"/>
    </row>
    <row r="32" s="68" customFormat="1" ht="13.5" customHeight="1" spans="2:118">
      <c r="B32" s="73"/>
      <c r="C32" s="74"/>
      <c r="D32" s="74"/>
      <c r="E32" s="74"/>
      <c r="F32" s="75"/>
      <c r="G32" s="74"/>
      <c r="H32" s="74"/>
      <c r="I32" s="74"/>
      <c r="J32" s="74"/>
      <c r="K32" s="78"/>
      <c r="L32" s="141"/>
      <c r="M32" s="150"/>
      <c r="N32" s="150"/>
      <c r="O32" s="74"/>
      <c r="P32" s="74"/>
      <c r="Q32" s="74"/>
      <c r="R32" s="74"/>
      <c r="S32" s="74"/>
      <c r="T32" s="74"/>
      <c r="U32" s="116" t="s">
        <v>382</v>
      </c>
      <c r="V32" s="89">
        <v>23.68637</v>
      </c>
      <c r="W32" s="89">
        <v>96.49801</v>
      </c>
      <c r="X32" s="87">
        <v>134.1</v>
      </c>
      <c r="Z32" s="73"/>
      <c r="AE32" s="87"/>
      <c r="AF32" s="87"/>
      <c r="AG32" s="207"/>
      <c r="AH32" s="207"/>
      <c r="AI32" s="78"/>
      <c r="AJ32" s="73"/>
      <c r="AK32" s="73"/>
      <c r="AL32" s="73"/>
      <c r="AM32" s="77"/>
      <c r="AN32" s="77"/>
      <c r="AO32" s="77"/>
      <c r="AP32" s="77"/>
      <c r="AQ32" s="73"/>
      <c r="AR32" s="73"/>
      <c r="AS32" s="189"/>
      <c r="AT32" s="73"/>
      <c r="AU32" s="73"/>
      <c r="AV32" s="73"/>
      <c r="AW32" s="73"/>
      <c r="AX32" s="73"/>
      <c r="AY32" s="73"/>
      <c r="AZ32" s="73"/>
      <c r="BA32" s="73"/>
      <c r="BB32" s="73"/>
      <c r="BC32" s="73"/>
      <c r="BD32" s="73"/>
      <c r="BE32" s="73"/>
      <c r="BG32" s="73"/>
      <c r="BH32" s="73"/>
      <c r="BI32" s="73"/>
      <c r="BJ32" s="73"/>
      <c r="BK32" s="73"/>
      <c r="BL32" s="73"/>
      <c r="BM32" s="73"/>
      <c r="BN32" s="73"/>
      <c r="BO32" s="91"/>
      <c r="BP32" s="73"/>
      <c r="BQ32" s="73"/>
      <c r="BR32" s="73"/>
      <c r="BT32" s="77"/>
      <c r="BU32" s="73"/>
      <c r="BV32" s="73"/>
      <c r="BX32" s="73"/>
      <c r="BY32" s="73"/>
      <c r="BZ32" s="73"/>
      <c r="CA32" s="73"/>
      <c r="CC32" s="73"/>
      <c r="CD32" s="73"/>
      <c r="CE32" s="73"/>
      <c r="CF32" s="73"/>
      <c r="CG32" s="73"/>
      <c r="CH32" s="73"/>
      <c r="CI32" s="73"/>
      <c r="CJ32" s="73"/>
      <c r="CK32" s="73"/>
      <c r="CW32" s="73"/>
      <c r="CX32" s="73"/>
      <c r="CY32" s="73"/>
      <c r="CZ32" s="91"/>
      <c r="DA32" s="91"/>
      <c r="DB32" s="91"/>
      <c r="DC32" s="91"/>
      <c r="DD32" s="91"/>
      <c r="DE32" s="77"/>
      <c r="DF32" s="73"/>
      <c r="DG32" s="73"/>
      <c r="DH32" s="91"/>
      <c r="DI32" s="73"/>
      <c r="DJ32" s="73"/>
      <c r="DK32" s="73"/>
      <c r="DL32" s="91"/>
      <c r="DM32" s="73"/>
      <c r="DN32" s="73"/>
    </row>
    <row r="33" s="68" customFormat="1" ht="12.95" customHeight="1" spans="2:118">
      <c r="B33" s="73"/>
      <c r="C33" s="74"/>
      <c r="D33" s="74"/>
      <c r="E33" s="74"/>
      <c r="F33" s="75"/>
      <c r="G33" s="74"/>
      <c r="H33" s="74"/>
      <c r="I33" s="74"/>
      <c r="J33" s="74"/>
      <c r="K33" s="138"/>
      <c r="L33" s="141"/>
      <c r="M33" s="150"/>
      <c r="N33" s="150"/>
      <c r="O33" s="74"/>
      <c r="P33" s="74"/>
      <c r="Q33" s="74"/>
      <c r="R33" s="74"/>
      <c r="S33" s="74"/>
      <c r="T33" s="74"/>
      <c r="U33" s="160" t="s">
        <v>383</v>
      </c>
      <c r="V33" s="147">
        <v>10.08083</v>
      </c>
      <c r="W33" s="147">
        <v>27.72325</v>
      </c>
      <c r="X33" s="134">
        <v>25.5</v>
      </c>
      <c r="Z33" s="73"/>
      <c r="AE33" s="87"/>
      <c r="AF33" s="87"/>
      <c r="AG33" s="207"/>
      <c r="AH33" s="207"/>
      <c r="AI33" s="78"/>
      <c r="AJ33" s="73"/>
      <c r="AK33" s="73"/>
      <c r="AL33" s="73"/>
      <c r="AM33" s="77"/>
      <c r="AN33" s="78"/>
      <c r="AO33" s="73"/>
      <c r="AP33" s="77"/>
      <c r="AQ33" s="73"/>
      <c r="AR33" s="73"/>
      <c r="AT33" s="73"/>
      <c r="AU33" s="73"/>
      <c r="AV33" s="73"/>
      <c r="AW33" s="73"/>
      <c r="AX33" s="73"/>
      <c r="AY33" s="73"/>
      <c r="AZ33" s="73"/>
      <c r="BA33" s="73"/>
      <c r="BB33" s="73"/>
      <c r="BC33" s="73"/>
      <c r="BD33" s="73"/>
      <c r="BE33" s="73"/>
      <c r="BG33" s="73"/>
      <c r="BH33" s="73"/>
      <c r="BI33" s="73"/>
      <c r="BJ33" s="73"/>
      <c r="BL33" s="73"/>
      <c r="BM33" s="73"/>
      <c r="BN33" s="73"/>
      <c r="BO33" s="91"/>
      <c r="BP33" s="73"/>
      <c r="BQ33" s="73"/>
      <c r="BR33" s="73"/>
      <c r="BT33" s="77"/>
      <c r="BU33" s="73"/>
      <c r="BV33" s="73"/>
      <c r="BX33" s="73"/>
      <c r="BY33" s="73"/>
      <c r="BZ33" s="73"/>
      <c r="CA33" s="73"/>
      <c r="CB33" s="73"/>
      <c r="CC33" s="73"/>
      <c r="CD33" s="73"/>
      <c r="CE33" s="73"/>
      <c r="CF33" s="73"/>
      <c r="CG33" s="73"/>
      <c r="CH33" s="73"/>
      <c r="CI33" s="73"/>
      <c r="CJ33" s="73"/>
      <c r="CK33" s="73"/>
      <c r="CW33" s="73"/>
      <c r="CX33" s="73"/>
      <c r="CY33" s="73"/>
      <c r="CZ33" s="91"/>
      <c r="DA33" s="91"/>
      <c r="DB33" s="91"/>
      <c r="DC33" s="91"/>
      <c r="DD33" s="91"/>
      <c r="DE33" s="77"/>
      <c r="DF33" s="73"/>
      <c r="DG33" s="73"/>
      <c r="DH33" s="91"/>
      <c r="DI33" s="73"/>
      <c r="DJ33" s="73"/>
      <c r="DK33" s="73"/>
      <c r="DL33" s="91"/>
      <c r="DM33" s="73"/>
      <c r="DN33" s="73"/>
    </row>
    <row r="34" s="68" customFormat="1" ht="12.95" customHeight="1" spans="2:118">
      <c r="B34" s="73"/>
      <c r="C34" s="74"/>
      <c r="D34" s="74"/>
      <c r="E34" s="74"/>
      <c r="F34" s="124"/>
      <c r="G34" s="74"/>
      <c r="H34" s="74"/>
      <c r="I34" s="74"/>
      <c r="J34" s="74"/>
      <c r="K34" s="138"/>
      <c r="L34" s="141"/>
      <c r="M34" s="150"/>
      <c r="N34" s="150"/>
      <c r="P34" s="74"/>
      <c r="Q34" s="74"/>
      <c r="R34" s="74"/>
      <c r="S34" s="74"/>
      <c r="T34" s="74"/>
      <c r="U34" s="71"/>
      <c r="X34" s="71"/>
      <c r="Z34" s="73"/>
      <c r="AE34" s="87"/>
      <c r="AF34" s="87"/>
      <c r="AG34" s="207"/>
      <c r="AH34" s="207"/>
      <c r="AI34" s="78"/>
      <c r="AJ34" s="73"/>
      <c r="AK34" s="73"/>
      <c r="AL34" s="73"/>
      <c r="AM34" s="77"/>
      <c r="AN34" s="91"/>
      <c r="AO34" s="73"/>
      <c r="AP34" s="77"/>
      <c r="AQ34" s="73"/>
      <c r="AR34" s="73"/>
      <c r="AS34" s="73"/>
      <c r="AT34" s="73"/>
      <c r="AU34" s="73"/>
      <c r="AV34" s="73"/>
      <c r="AW34" s="73"/>
      <c r="AX34" s="73"/>
      <c r="AY34" s="73"/>
      <c r="AZ34" s="73"/>
      <c r="BA34" s="73"/>
      <c r="BB34" s="73"/>
      <c r="BC34" s="73"/>
      <c r="BD34" s="73"/>
      <c r="BE34" s="73"/>
      <c r="BG34" s="73"/>
      <c r="BH34" s="73"/>
      <c r="BI34" s="73"/>
      <c r="BJ34" s="73"/>
      <c r="BL34" s="73"/>
      <c r="BM34" s="73"/>
      <c r="BN34" s="73"/>
      <c r="BO34" s="91"/>
      <c r="BP34" s="73"/>
      <c r="BQ34" s="73"/>
      <c r="BR34" s="73"/>
      <c r="BT34" s="77"/>
      <c r="BU34" s="73"/>
      <c r="BV34" s="73"/>
      <c r="BX34" s="73"/>
      <c r="BY34" s="73"/>
      <c r="BZ34" s="73"/>
      <c r="CA34" s="73"/>
      <c r="CB34" s="73"/>
      <c r="CC34" s="73"/>
      <c r="CD34" s="73"/>
      <c r="CE34" s="73"/>
      <c r="CF34" s="73"/>
      <c r="CG34" s="73"/>
      <c r="CH34" s="73"/>
      <c r="CI34" s="73"/>
      <c r="CJ34" s="73"/>
      <c r="CK34" s="73"/>
      <c r="CW34" s="73"/>
      <c r="CX34" s="73"/>
      <c r="CY34" s="73"/>
      <c r="CZ34" s="91"/>
      <c r="DA34" s="91"/>
      <c r="DB34" s="91"/>
      <c r="DC34" s="91"/>
      <c r="DD34" s="91"/>
      <c r="DE34" s="77"/>
      <c r="DF34" s="73"/>
      <c r="DG34" s="73"/>
      <c r="DH34" s="91"/>
      <c r="DI34" s="73"/>
      <c r="DJ34" s="73"/>
      <c r="DK34" s="73"/>
      <c r="DL34" s="91"/>
      <c r="DM34" s="73"/>
      <c r="DN34" s="73"/>
    </row>
    <row r="35" s="68" customFormat="1" ht="12.75" spans="2:118">
      <c r="B35" s="73"/>
      <c r="C35" s="74"/>
      <c r="D35" s="74"/>
      <c r="E35" s="74"/>
      <c r="F35" s="75"/>
      <c r="G35" s="74"/>
      <c r="H35" s="74"/>
      <c r="I35" s="74"/>
      <c r="J35" s="74"/>
      <c r="K35" s="138"/>
      <c r="L35" s="74"/>
      <c r="M35" s="74"/>
      <c r="N35" s="74"/>
      <c r="P35" s="74"/>
      <c r="Q35" s="74"/>
      <c r="R35" s="74"/>
      <c r="S35" s="74"/>
      <c r="T35" s="74"/>
      <c r="U35" s="71"/>
      <c r="X35" s="71"/>
      <c r="Z35" s="73"/>
      <c r="AB35" s="73"/>
      <c r="AC35" s="73"/>
      <c r="AD35" s="73"/>
      <c r="AE35" s="87"/>
      <c r="AF35" s="87"/>
      <c r="AG35" s="207"/>
      <c r="AH35" s="207"/>
      <c r="AI35" s="77"/>
      <c r="AJ35" s="73"/>
      <c r="AK35" s="73"/>
      <c r="AL35" s="73"/>
      <c r="AM35" s="77"/>
      <c r="AN35" s="91"/>
      <c r="AO35" s="73"/>
      <c r="AP35" s="77"/>
      <c r="AQ35" s="73"/>
      <c r="AR35" s="73"/>
      <c r="AS35" s="73"/>
      <c r="AT35" s="73"/>
      <c r="AU35" s="73"/>
      <c r="AV35" s="73"/>
      <c r="AW35" s="73"/>
      <c r="AX35" s="73"/>
      <c r="AY35" s="73"/>
      <c r="AZ35" s="73"/>
      <c r="BA35" s="73"/>
      <c r="BB35" s="73"/>
      <c r="BC35" s="73"/>
      <c r="BD35" s="73"/>
      <c r="BE35" s="73"/>
      <c r="BG35" s="73"/>
      <c r="BH35" s="73"/>
      <c r="BI35" s="73"/>
      <c r="BJ35" s="73"/>
      <c r="BL35" s="73"/>
      <c r="BM35" s="73"/>
      <c r="BN35" s="73"/>
      <c r="BO35" s="91"/>
      <c r="BP35" s="73"/>
      <c r="BQ35" s="73"/>
      <c r="BR35" s="73"/>
      <c r="BT35" s="77"/>
      <c r="BU35" s="73"/>
      <c r="BV35" s="73"/>
      <c r="BX35" s="73"/>
      <c r="BY35" s="73"/>
      <c r="BZ35" s="73"/>
      <c r="CA35" s="73"/>
      <c r="CB35" s="73"/>
      <c r="CC35" s="73"/>
      <c r="CD35" s="73"/>
      <c r="CE35" s="73"/>
      <c r="CF35" s="73"/>
      <c r="CG35" s="73"/>
      <c r="CH35" s="73"/>
      <c r="CI35" s="73"/>
      <c r="CJ35" s="73"/>
      <c r="CK35" s="73"/>
      <c r="CW35" s="73"/>
      <c r="CX35" s="73"/>
      <c r="CY35" s="73"/>
      <c r="CZ35" s="91"/>
      <c r="DA35" s="77"/>
      <c r="DB35" s="77"/>
      <c r="DC35" s="91"/>
      <c r="DD35" s="91"/>
      <c r="DE35" s="77"/>
      <c r="DF35" s="73"/>
      <c r="DG35" s="73"/>
      <c r="DH35" s="91"/>
      <c r="DI35" s="73"/>
      <c r="DJ35" s="73"/>
      <c r="DK35" s="73"/>
      <c r="DL35" s="91"/>
      <c r="DM35" s="73"/>
      <c r="DN35" s="73"/>
    </row>
    <row r="36" s="68" customFormat="1" ht="12" customHeight="1" spans="2:118">
      <c r="B36" s="73"/>
      <c r="C36" s="74"/>
      <c r="D36" s="74"/>
      <c r="E36" s="74"/>
      <c r="F36" s="75"/>
      <c r="G36" s="74"/>
      <c r="H36" s="74"/>
      <c r="I36" s="74"/>
      <c r="J36" s="74"/>
      <c r="K36" s="138"/>
      <c r="L36" s="74"/>
      <c r="M36" s="74"/>
      <c r="N36" s="74"/>
      <c r="O36" s="74"/>
      <c r="Q36" s="74"/>
      <c r="R36" s="74"/>
      <c r="S36" s="74"/>
      <c r="T36" s="74"/>
      <c r="U36" s="73"/>
      <c r="V36" s="73"/>
      <c r="W36" s="73"/>
      <c r="X36" s="73"/>
      <c r="Y36" s="73"/>
      <c r="Z36" s="73"/>
      <c r="AA36" s="73"/>
      <c r="AB36" s="73"/>
      <c r="AC36" s="73"/>
      <c r="AD36" s="73"/>
      <c r="AE36" s="87"/>
      <c r="AF36" s="87"/>
      <c r="AG36" s="207"/>
      <c r="AH36" s="207"/>
      <c r="AI36" s="91"/>
      <c r="AJ36" s="73"/>
      <c r="AK36" s="73"/>
      <c r="AL36" s="73"/>
      <c r="AM36" s="77"/>
      <c r="AN36" s="91"/>
      <c r="AO36" s="73"/>
      <c r="AP36" s="77"/>
      <c r="AQ36" s="73"/>
      <c r="AR36" s="73"/>
      <c r="AS36" s="73"/>
      <c r="AT36" s="73"/>
      <c r="AU36" s="73"/>
      <c r="AV36" s="73"/>
      <c r="AW36" s="73"/>
      <c r="AX36" s="73"/>
      <c r="AY36" s="73"/>
      <c r="AZ36" s="73"/>
      <c r="BA36" s="73"/>
      <c r="BB36" s="73"/>
      <c r="BC36" s="73"/>
      <c r="BD36" s="73"/>
      <c r="BE36" s="73"/>
      <c r="BF36" s="73"/>
      <c r="BG36" s="73"/>
      <c r="BH36" s="73"/>
      <c r="BI36" s="73"/>
      <c r="BJ36" s="73"/>
      <c r="BL36" s="73"/>
      <c r="BM36" s="73"/>
      <c r="BN36" s="73"/>
      <c r="BO36" s="91"/>
      <c r="BP36" s="73"/>
      <c r="BQ36" s="73"/>
      <c r="BR36" s="73"/>
      <c r="BT36" s="77"/>
      <c r="BU36" s="73"/>
      <c r="BV36" s="73"/>
      <c r="BX36" s="73"/>
      <c r="BY36" s="73"/>
      <c r="BZ36" s="77"/>
      <c r="CA36" s="73"/>
      <c r="CB36" s="73"/>
      <c r="CC36" s="73"/>
      <c r="CD36" s="73"/>
      <c r="CE36" s="73"/>
      <c r="CF36" s="73"/>
      <c r="CG36" s="73"/>
      <c r="CH36" s="73"/>
      <c r="CI36" s="73"/>
      <c r="CJ36" s="73"/>
      <c r="CK36" s="73"/>
      <c r="CW36" s="73"/>
      <c r="CX36" s="73"/>
      <c r="CY36" s="73"/>
      <c r="CZ36" s="91"/>
      <c r="DA36" s="77"/>
      <c r="DB36" s="77"/>
      <c r="DC36" s="77"/>
      <c r="DD36" s="91"/>
      <c r="DE36" s="77"/>
      <c r="DF36" s="73"/>
      <c r="DG36" s="73"/>
      <c r="DH36" s="91"/>
      <c r="DI36" s="73"/>
      <c r="DJ36" s="73"/>
      <c r="DK36" s="73"/>
      <c r="DL36" s="91"/>
      <c r="DM36" s="73"/>
      <c r="DN36" s="73"/>
    </row>
    <row r="37" s="68" customFormat="1" ht="12" customHeight="1" spans="2:122">
      <c r="B37" s="73"/>
      <c r="C37" s="74"/>
      <c r="D37" s="74"/>
      <c r="E37" s="74"/>
      <c r="F37" s="75"/>
      <c r="G37" s="74"/>
      <c r="H37" s="74"/>
      <c r="I37" s="74"/>
      <c r="J37" s="74"/>
      <c r="K37" s="138"/>
      <c r="L37" s="74"/>
      <c r="M37" s="74"/>
      <c r="N37" s="74"/>
      <c r="O37" s="74"/>
      <c r="Q37" s="74"/>
      <c r="R37" s="74"/>
      <c r="S37" s="74"/>
      <c r="T37" s="74"/>
      <c r="U37" s="73"/>
      <c r="V37" s="73"/>
      <c r="W37" s="73"/>
      <c r="X37" s="73"/>
      <c r="Z37" s="73"/>
      <c r="AA37" s="73"/>
      <c r="AB37" s="73"/>
      <c r="AC37" s="73"/>
      <c r="AD37" s="73"/>
      <c r="AE37" s="87"/>
      <c r="AF37" s="87"/>
      <c r="AG37" s="207"/>
      <c r="AH37" s="207"/>
      <c r="AI37" s="73"/>
      <c r="AJ37" s="76"/>
      <c r="AK37" s="76"/>
      <c r="AL37" s="73"/>
      <c r="AM37" s="77"/>
      <c r="AN37" s="91"/>
      <c r="AO37" s="73"/>
      <c r="AP37" s="77"/>
      <c r="AQ37" s="73"/>
      <c r="AR37" s="73"/>
      <c r="AS37" s="73"/>
      <c r="AT37" s="73"/>
      <c r="AU37" s="73"/>
      <c r="AV37" s="73"/>
      <c r="AW37" s="73"/>
      <c r="AX37" s="73"/>
      <c r="AY37" s="73"/>
      <c r="AZ37" s="73"/>
      <c r="BA37" s="73"/>
      <c r="BB37" s="73"/>
      <c r="BC37" s="73"/>
      <c r="BD37" s="73"/>
      <c r="BE37" s="73"/>
      <c r="BF37" s="73"/>
      <c r="BG37" s="73"/>
      <c r="BH37" s="73"/>
      <c r="BI37" s="73"/>
      <c r="BJ37" s="73"/>
      <c r="BL37" s="73"/>
      <c r="BM37" s="73"/>
      <c r="BN37" s="73"/>
      <c r="BO37" s="73"/>
      <c r="BP37" s="73"/>
      <c r="BQ37" s="73"/>
      <c r="BR37" s="73"/>
      <c r="BS37" s="73"/>
      <c r="BT37" s="73"/>
      <c r="BU37" s="73"/>
      <c r="BV37" s="73"/>
      <c r="BW37" s="77"/>
      <c r="BX37" s="73"/>
      <c r="BY37" s="73"/>
      <c r="BZ37" s="77"/>
      <c r="CA37" s="73"/>
      <c r="CB37" s="73"/>
      <c r="CC37" s="73"/>
      <c r="CD37" s="73"/>
      <c r="CE37" s="73"/>
      <c r="CF37" s="73"/>
      <c r="CG37" s="73"/>
      <c r="CH37" s="73"/>
      <c r="CI37" s="73"/>
      <c r="CJ37" s="73"/>
      <c r="CK37" s="77"/>
      <c r="CL37" s="73"/>
      <c r="CM37" s="73"/>
      <c r="CN37" s="73"/>
      <c r="CP37" s="73"/>
      <c r="CQ37" s="73"/>
      <c r="CR37" s="73"/>
      <c r="CS37" s="73"/>
      <c r="CT37" s="73"/>
      <c r="CW37" s="73"/>
      <c r="CX37" s="73"/>
      <c r="CY37" s="73"/>
      <c r="CZ37" s="73"/>
      <c r="DA37" s="73"/>
      <c r="DB37" s="73"/>
      <c r="DC37" s="77"/>
      <c r="DD37" s="77"/>
      <c r="DE37" s="77"/>
      <c r="DF37" s="77"/>
      <c r="DG37" s="73"/>
      <c r="DH37" s="73"/>
      <c r="DI37" s="73"/>
      <c r="DJ37" s="73"/>
      <c r="DK37" s="73"/>
      <c r="DL37" s="73"/>
      <c r="DM37" s="73"/>
      <c r="DN37" s="73"/>
      <c r="DP37" s="73"/>
      <c r="DQ37" s="73"/>
      <c r="DR37" s="73"/>
    </row>
    <row r="38" ht="12" customHeight="1" spans="11:119">
      <c r="K38" s="138"/>
      <c r="AE38" s="87"/>
      <c r="AF38" s="87"/>
      <c r="AG38" s="207"/>
      <c r="AH38" s="207"/>
      <c r="AN38" s="91"/>
      <c r="AO38" s="73"/>
      <c r="BK38" s="68"/>
      <c r="BZ38" s="77"/>
      <c r="DO38" s="73"/>
    </row>
    <row r="39" customHeight="1" spans="11:119">
      <c r="K39" s="138"/>
      <c r="M39" s="151"/>
      <c r="N39" s="151"/>
      <c r="O39" s="151"/>
      <c r="W39" s="172"/>
      <c r="AE39" s="136"/>
      <c r="AF39" s="87"/>
      <c r="AG39" s="207"/>
      <c r="AH39" s="207"/>
      <c r="AN39" s="91"/>
      <c r="AO39" s="73"/>
      <c r="BK39" s="68"/>
      <c r="BZ39" s="77"/>
      <c r="DO39" s="73"/>
    </row>
    <row r="40" spans="13:109">
      <c r="M40" s="151"/>
      <c r="N40" s="151"/>
      <c r="O40" s="151"/>
      <c r="AE40" s="136"/>
      <c r="AF40" s="136"/>
      <c r="AG40" s="210"/>
      <c r="AH40" s="210"/>
      <c r="AN40" s="91"/>
      <c r="BZ40" s="77"/>
      <c r="DE40" s="73"/>
    </row>
    <row r="41" spans="13:64">
      <c r="M41" s="151"/>
      <c r="N41" s="151"/>
      <c r="O41" s="151"/>
      <c r="W41" s="173"/>
      <c r="AF41" s="136"/>
      <c r="AG41" s="210"/>
      <c r="AH41" s="210"/>
      <c r="BL41" s="77"/>
    </row>
    <row r="42" spans="13:15">
      <c r="M42" s="151"/>
      <c r="N42" s="151"/>
      <c r="O42" s="151"/>
    </row>
    <row r="43" spans="13:15">
      <c r="M43" s="151"/>
      <c r="N43" s="151"/>
      <c r="O43" s="151"/>
    </row>
    <row r="44" spans="13:89">
      <c r="M44" s="151"/>
      <c r="N44" s="151"/>
      <c r="O44" s="151"/>
      <c r="CK44" s="73"/>
    </row>
  </sheetData>
  <mergeCells count="127">
    <mergeCell ref="B1:D1"/>
    <mergeCell ref="G1:J1"/>
    <mergeCell ref="L1:O1"/>
    <mergeCell ref="Q1:S1"/>
    <mergeCell ref="U1:W1"/>
    <mergeCell ref="Z1:AC1"/>
    <mergeCell ref="AE1:AG1"/>
    <mergeCell ref="AI1:AK1"/>
    <mergeCell ref="AM1:AO1"/>
    <mergeCell ref="AQ1:AU1"/>
    <mergeCell ref="AW1:AY1"/>
    <mergeCell ref="BA1:BD1"/>
    <mergeCell ref="BF1:BH1"/>
    <mergeCell ref="BJ1:BM1"/>
    <mergeCell ref="BO1:BQ1"/>
    <mergeCell ref="BS1:BU1"/>
    <mergeCell ref="BW1:BY1"/>
    <mergeCell ref="CA1:CD1"/>
    <mergeCell ref="CF1:CI1"/>
    <mergeCell ref="CK1:CN1"/>
    <mergeCell ref="CP1:CT1"/>
    <mergeCell ref="CV1:CX1"/>
    <mergeCell ref="CZ1:DB1"/>
    <mergeCell ref="DD1:DF1"/>
    <mergeCell ref="DH1:DJ1"/>
    <mergeCell ref="DL1:DN1"/>
    <mergeCell ref="DP1:DR1"/>
    <mergeCell ref="DT1:DV1"/>
    <mergeCell ref="DX1:DZ1"/>
    <mergeCell ref="BL2:BM2"/>
    <mergeCell ref="Q7:S7"/>
    <mergeCell ref="Q10:S10"/>
    <mergeCell ref="B11:E11"/>
    <mergeCell ref="BA11:BC11"/>
    <mergeCell ref="BF11:BH11"/>
    <mergeCell ref="AW12:AY12"/>
    <mergeCell ref="Z15:AA15"/>
    <mergeCell ref="U17:X17"/>
    <mergeCell ref="Z17:AB17"/>
    <mergeCell ref="DP18:DR18"/>
    <mergeCell ref="DT18:DV18"/>
    <mergeCell ref="DX18:DZ18"/>
    <mergeCell ref="BA19:BC19"/>
    <mergeCell ref="CV19:CX19"/>
    <mergeCell ref="DH19:DJ19"/>
    <mergeCell ref="DL19:DN19"/>
    <mergeCell ref="G20:I20"/>
    <mergeCell ref="AW20:AY20"/>
    <mergeCell ref="BO20:BQ20"/>
    <mergeCell ref="BS20:BU20"/>
    <mergeCell ref="BW20:BY20"/>
    <mergeCell ref="CP20:CS20"/>
    <mergeCell ref="CZ20:DB20"/>
    <mergeCell ref="AE21:AF21"/>
    <mergeCell ref="AM21:AO21"/>
    <mergeCell ref="CF21:CI21"/>
    <mergeCell ref="CK21:CN21"/>
    <mergeCell ref="BO22:BQ22"/>
    <mergeCell ref="BS22:BU22"/>
    <mergeCell ref="BO23:BQ23"/>
    <mergeCell ref="BS23:BU23"/>
    <mergeCell ref="AQ24:AR24"/>
    <mergeCell ref="B27:D27"/>
    <mergeCell ref="Z27:AB27"/>
    <mergeCell ref="AQ2:AQ3"/>
    <mergeCell ref="AR2:AR3"/>
    <mergeCell ref="AS2:AS3"/>
    <mergeCell ref="AT2:AT3"/>
    <mergeCell ref="AU2:AU3"/>
    <mergeCell ref="BA2:BA3"/>
    <mergeCell ref="BB2:BB3"/>
    <mergeCell ref="BC2:BC3"/>
    <mergeCell ref="BD2:BD3"/>
    <mergeCell ref="BJ2:BJ3"/>
    <mergeCell ref="BO2:BO3"/>
    <mergeCell ref="BP2:BP3"/>
    <mergeCell ref="BQ2:BQ3"/>
    <mergeCell ref="BS2:BS3"/>
    <mergeCell ref="BT2:BT3"/>
    <mergeCell ref="BU2:BU3"/>
    <mergeCell ref="BW2:BW3"/>
    <mergeCell ref="BX2:BX3"/>
    <mergeCell ref="BY2:BY3"/>
    <mergeCell ref="CA2:CA3"/>
    <mergeCell ref="CB2:CB3"/>
    <mergeCell ref="CC2:CC3"/>
    <mergeCell ref="CD2:CD3"/>
    <mergeCell ref="CF2:CF3"/>
    <mergeCell ref="CG2:CG3"/>
    <mergeCell ref="CH2:CH3"/>
    <mergeCell ref="CI2:CI3"/>
    <mergeCell ref="CK2:CK3"/>
    <mergeCell ref="CL2:CL3"/>
    <mergeCell ref="CM2:CM3"/>
    <mergeCell ref="CN2:CN3"/>
    <mergeCell ref="CP2:CP3"/>
    <mergeCell ref="CQ2:CQ3"/>
    <mergeCell ref="CR2:CR3"/>
    <mergeCell ref="CS2:CS3"/>
    <mergeCell ref="CT2:CT3"/>
    <mergeCell ref="CV2:CV3"/>
    <mergeCell ref="CW2:CW3"/>
    <mergeCell ref="CX2:CX3"/>
    <mergeCell ref="CZ2:CZ3"/>
    <mergeCell ref="DA2:DA3"/>
    <mergeCell ref="DB2:DB3"/>
    <mergeCell ref="DD2:DD3"/>
    <mergeCell ref="DE2:DE3"/>
    <mergeCell ref="DF2:DF3"/>
    <mergeCell ref="DH2:DH3"/>
    <mergeCell ref="DI2:DI3"/>
    <mergeCell ref="DJ2:DJ3"/>
    <mergeCell ref="DL2:DL3"/>
    <mergeCell ref="DM2:DM3"/>
    <mergeCell ref="DN2:DN3"/>
    <mergeCell ref="DP2:DP3"/>
    <mergeCell ref="DQ2:DQ3"/>
    <mergeCell ref="DR2:DR3"/>
    <mergeCell ref="DT2:DT3"/>
    <mergeCell ref="DU2:DU3"/>
    <mergeCell ref="DV2:DV3"/>
    <mergeCell ref="DX2:DX3"/>
    <mergeCell ref="DY2:DY3"/>
    <mergeCell ref="DZ2:DZ3"/>
    <mergeCell ref="AI22:AK23"/>
    <mergeCell ref="L27:O29"/>
    <mergeCell ref="DD18:DF1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workbookViewId="0">
      <selection activeCell="D34" sqref="D34"/>
    </sheetView>
  </sheetViews>
  <sheetFormatPr defaultColWidth="10" defaultRowHeight="15.75"/>
  <cols>
    <col min="1" max="1" width="9" style="28"/>
    <col min="3" max="4" width="9" customWidth="1"/>
    <col min="5" max="5" width="53.625" customWidth="1"/>
    <col min="6" max="6" width="1.75" customWidth="1"/>
    <col min="12" max="12" width="8.75" customWidth="1"/>
  </cols>
  <sheetData>
    <row r="1" ht="11.25" customHeight="1" spans="3:12">
      <c r="C1" t="s">
        <v>384</v>
      </c>
      <c r="D1" t="s">
        <v>385</v>
      </c>
      <c r="F1" s="63"/>
      <c r="G1" s="64" t="s">
        <v>386</v>
      </c>
      <c r="H1" s="64"/>
      <c r="I1" s="64"/>
      <c r="J1" s="64"/>
      <c r="K1" s="64"/>
      <c r="L1" s="64"/>
    </row>
    <row r="2" ht="14.1" customHeight="1" spans="1:12">
      <c r="A2" s="2"/>
      <c r="B2" s="2" t="s">
        <v>387</v>
      </c>
      <c r="C2" s="21">
        <v>4.55909651450763</v>
      </c>
      <c r="D2" s="26">
        <v>4722.96858342296</v>
      </c>
      <c r="F2" s="65"/>
      <c r="G2" s="66"/>
      <c r="H2" s="66"/>
      <c r="I2" s="66"/>
      <c r="J2" s="66"/>
      <c r="K2" s="66"/>
      <c r="L2" s="66"/>
    </row>
    <row r="3" spans="1:4">
      <c r="A3" s="2"/>
      <c r="B3" s="2" t="s">
        <v>388</v>
      </c>
      <c r="C3" s="7">
        <v>6.90263129118207</v>
      </c>
      <c r="D3" s="49">
        <v>9601.53282422429</v>
      </c>
    </row>
    <row r="4" spans="1:4">
      <c r="A4" s="2"/>
      <c r="B4" s="2" t="s">
        <v>389</v>
      </c>
      <c r="C4" s="7">
        <v>5.7519992111033</v>
      </c>
      <c r="D4" s="49">
        <v>14437.5012456316</v>
      </c>
    </row>
    <row r="5" spans="1:4">
      <c r="A5" s="2"/>
      <c r="B5" s="2" t="s">
        <v>390</v>
      </c>
      <c r="C5" s="7">
        <v>5.55318583971651</v>
      </c>
      <c r="D5" s="49">
        <v>20058.9787400964</v>
      </c>
    </row>
    <row r="6" spans="1:4">
      <c r="A6" s="2"/>
      <c r="B6" s="2" t="s">
        <v>391</v>
      </c>
      <c r="C6" s="7">
        <v>5.05043725087953</v>
      </c>
      <c r="D6" s="26">
        <v>5111.89821604242</v>
      </c>
    </row>
    <row r="7" spans="1:4">
      <c r="A7" s="2"/>
      <c r="B7" s="2" t="s">
        <v>388</v>
      </c>
      <c r="C7" s="7">
        <v>4.75118806605461</v>
      </c>
      <c r="D7" s="49">
        <v>10137.05271504</v>
      </c>
    </row>
    <row r="8" spans="1:4">
      <c r="A8" s="2"/>
      <c r="B8" s="2" t="s">
        <v>389</v>
      </c>
      <c r="C8" s="7">
        <v>4.45050845815931</v>
      </c>
      <c r="D8" s="26">
        <v>15215.329562053</v>
      </c>
    </row>
    <row r="9" spans="1:4">
      <c r="A9" s="6"/>
      <c r="B9" s="2" t="s">
        <v>390</v>
      </c>
      <c r="C9" s="7">
        <v>4.6504441212649</v>
      </c>
      <c r="D9" s="26">
        <v>21860.3155697784</v>
      </c>
    </row>
    <row r="10" spans="1:4">
      <c r="A10" s="6"/>
      <c r="B10" s="2" t="s">
        <v>392</v>
      </c>
      <c r="C10" s="7">
        <v>5.15062929653443</v>
      </c>
      <c r="D10" s="26">
        <v>5715.43141746784</v>
      </c>
    </row>
    <row r="11" spans="1:4">
      <c r="A11" s="2"/>
      <c r="B11" s="2"/>
      <c r="C11" s="7"/>
      <c r="D11" s="7"/>
    </row>
    <row r="12" spans="1:12">
      <c r="A12" s="2"/>
      <c r="B12" s="2"/>
      <c r="F12" s="16"/>
      <c r="G12" s="16"/>
      <c r="H12" s="16"/>
      <c r="I12" s="16"/>
      <c r="J12" s="16"/>
      <c r="K12" s="16"/>
      <c r="L12" s="67"/>
    </row>
    <row r="13" spans="1:12">
      <c r="A13" s="2"/>
      <c r="B13" s="2"/>
      <c r="F13" s="15"/>
      <c r="G13" s="15"/>
      <c r="H13" s="15"/>
      <c r="I13" s="15"/>
      <c r="J13" s="15"/>
      <c r="K13" s="15"/>
      <c r="L13" s="15"/>
    </row>
    <row r="14" spans="1:2">
      <c r="A14" s="2"/>
      <c r="B14" s="2"/>
    </row>
    <row r="17" spans="3:12">
      <c r="C17" t="s">
        <v>384</v>
      </c>
      <c r="D17" t="s">
        <v>385</v>
      </c>
      <c r="F17" s="57"/>
      <c r="G17" s="57"/>
      <c r="H17" s="57"/>
      <c r="I17" s="57"/>
      <c r="J17" s="57"/>
      <c r="K17" s="57"/>
      <c r="L17" s="57"/>
    </row>
    <row r="18" ht="11.25" customHeight="1" spans="1:12">
      <c r="A18" s="2"/>
      <c r="B18" s="2" t="s">
        <v>387</v>
      </c>
      <c r="C18" s="7">
        <v>3.1854290452725</v>
      </c>
      <c r="D18" s="26">
        <v>52.5074301648761</v>
      </c>
      <c r="F18" s="10"/>
      <c r="G18" s="11" t="s">
        <v>393</v>
      </c>
      <c r="H18" s="11"/>
      <c r="I18" s="11"/>
      <c r="J18" s="11"/>
      <c r="K18" s="11"/>
      <c r="L18" s="11"/>
    </row>
    <row r="19" ht="14.25" customHeight="1" spans="1:12">
      <c r="A19" s="2"/>
      <c r="B19" s="2" t="s">
        <v>388</v>
      </c>
      <c r="C19" s="7">
        <v>3.31219519265249</v>
      </c>
      <c r="D19" s="49">
        <v>151.498636520386</v>
      </c>
      <c r="F19" s="12"/>
      <c r="G19" s="13"/>
      <c r="H19" s="13"/>
      <c r="I19" s="13"/>
      <c r="J19" s="13"/>
      <c r="K19" s="13"/>
      <c r="L19" s="13"/>
    </row>
    <row r="20" spans="1:4">
      <c r="A20" s="2"/>
      <c r="B20" s="2" t="s">
        <v>389</v>
      </c>
      <c r="C20" s="7">
        <v>3.27609968809788</v>
      </c>
      <c r="D20" s="49">
        <v>228.612975098499</v>
      </c>
    </row>
    <row r="21" spans="1:4">
      <c r="A21" s="2"/>
      <c r="B21" s="2" t="s">
        <v>390</v>
      </c>
      <c r="C21" s="7">
        <v>3.70827182530091</v>
      </c>
      <c r="D21" s="49">
        <v>347.098172190562</v>
      </c>
    </row>
    <row r="22" spans="1:4">
      <c r="A22" s="2"/>
      <c r="B22" s="2" t="s">
        <v>391</v>
      </c>
      <c r="C22" s="7">
        <v>3.48703270603927</v>
      </c>
      <c r="D22" s="49">
        <v>50.8585508163283</v>
      </c>
    </row>
    <row r="23" spans="1:4">
      <c r="A23" s="2"/>
      <c r="B23" s="2" t="s">
        <v>388</v>
      </c>
      <c r="C23" s="7">
        <v>3.76821890578338</v>
      </c>
      <c r="D23" s="49">
        <v>147.813145577622</v>
      </c>
    </row>
    <row r="24" spans="1:4">
      <c r="A24" s="2"/>
      <c r="B24" s="2" t="s">
        <v>389</v>
      </c>
      <c r="C24" s="7">
        <v>3.62125318029323</v>
      </c>
      <c r="D24" s="26">
        <v>231.411641822705</v>
      </c>
    </row>
    <row r="25" spans="1:4">
      <c r="A25" s="2"/>
      <c r="B25" s="2" t="s">
        <v>390</v>
      </c>
      <c r="C25" s="7">
        <v>3.31729502970515</v>
      </c>
      <c r="D25" s="26">
        <v>369.05808297829</v>
      </c>
    </row>
    <row r="26" spans="1:4">
      <c r="A26" s="6"/>
      <c r="B26" s="2" t="s">
        <v>392</v>
      </c>
      <c r="C26" s="7">
        <v>2.51550235502658</v>
      </c>
      <c r="D26" s="26">
        <v>53.2559247202021</v>
      </c>
    </row>
    <row r="27" spans="1:2">
      <c r="A27" s="2"/>
      <c r="B27" s="2"/>
    </row>
    <row r="28" spans="1:2">
      <c r="A28" s="2"/>
      <c r="B28" s="2"/>
    </row>
    <row r="29" s="23" customFormat="1" spans="1:2">
      <c r="A29" s="2"/>
      <c r="B29" s="2"/>
    </row>
    <row r="30" spans="1:12">
      <c r="A30" s="2"/>
      <c r="B30" s="2"/>
      <c r="F30" s="15"/>
      <c r="G30" s="15"/>
      <c r="H30" s="15"/>
      <c r="I30" s="15"/>
      <c r="J30" s="15"/>
      <c r="K30" s="15"/>
      <c r="L30" s="15"/>
    </row>
  </sheetData>
  <mergeCells count="6">
    <mergeCell ref="F13:L13"/>
    <mergeCell ref="F30:L30"/>
    <mergeCell ref="F1:F2"/>
    <mergeCell ref="F18:F19"/>
    <mergeCell ref="G18:L19"/>
    <mergeCell ref="G1:L2"/>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workbookViewId="0">
      <selection activeCell="P9" sqref="P9"/>
    </sheetView>
  </sheetViews>
  <sheetFormatPr defaultColWidth="10" defaultRowHeight="15.75"/>
  <cols>
    <col min="1" max="1" width="9" style="28"/>
    <col min="5" max="5" width="54.75" customWidth="1"/>
    <col min="6" max="6" width="1.75" customWidth="1"/>
  </cols>
  <sheetData>
    <row r="1" ht="11.25" customHeight="1" spans="3:12">
      <c r="C1" t="s">
        <v>384</v>
      </c>
      <c r="D1" t="s">
        <v>385</v>
      </c>
      <c r="F1" s="10"/>
      <c r="G1" s="11" t="s">
        <v>394</v>
      </c>
      <c r="H1" s="11"/>
      <c r="I1" s="11"/>
      <c r="J1" s="11"/>
      <c r="K1" s="11"/>
      <c r="L1" s="11"/>
    </row>
    <row r="2" ht="14.1" customHeight="1" spans="1:12">
      <c r="A2" s="2"/>
      <c r="B2" s="2" t="s">
        <v>387</v>
      </c>
      <c r="C2" s="7">
        <v>-1.52772919452722</v>
      </c>
      <c r="D2" s="26">
        <v>1268.15096444352</v>
      </c>
      <c r="F2" s="12"/>
      <c r="G2" s="13"/>
      <c r="H2" s="13"/>
      <c r="I2" s="13"/>
      <c r="J2" s="13"/>
      <c r="K2" s="13"/>
      <c r="L2" s="13"/>
    </row>
    <row r="3" spans="1:4">
      <c r="A3" s="2"/>
      <c r="B3" s="2" t="s">
        <v>388</v>
      </c>
      <c r="C3" s="7">
        <v>1.34303093450443</v>
      </c>
      <c r="D3" s="49">
        <v>2702.51424369364</v>
      </c>
    </row>
    <row r="4" spans="1:4">
      <c r="A4" s="2"/>
      <c r="B4" s="2" t="s">
        <v>389</v>
      </c>
      <c r="C4" s="7">
        <v>1.1228159486359</v>
      </c>
      <c r="D4" s="49">
        <v>4118.97779577421</v>
      </c>
    </row>
    <row r="5" spans="1:4">
      <c r="A5" s="2"/>
      <c r="B5" s="2" t="s">
        <v>390</v>
      </c>
      <c r="C5" s="7">
        <v>1.8474403766189</v>
      </c>
      <c r="D5" s="49">
        <v>5666.88259331788</v>
      </c>
    </row>
    <row r="6" spans="1:4">
      <c r="A6" s="2"/>
      <c r="B6" s="2" t="s">
        <v>391</v>
      </c>
      <c r="C6" s="7">
        <v>3.2458545529267</v>
      </c>
      <c r="D6" s="49">
        <v>1299.37501831308</v>
      </c>
    </row>
    <row r="7" spans="1:4">
      <c r="A7" s="2"/>
      <c r="B7" s="2" t="s">
        <v>388</v>
      </c>
      <c r="C7" s="7">
        <v>4.0369673608069</v>
      </c>
      <c r="D7" s="49">
        <v>2706.37806373329</v>
      </c>
    </row>
    <row r="8" spans="1:4">
      <c r="A8" s="2"/>
      <c r="B8" s="2" t="s">
        <v>389</v>
      </c>
      <c r="C8" s="7">
        <v>4.09768578801764</v>
      </c>
      <c r="D8" s="26">
        <v>4212.10927860147</v>
      </c>
    </row>
    <row r="9" spans="1:4">
      <c r="A9" s="2"/>
      <c r="B9" s="2" t="s">
        <v>390</v>
      </c>
      <c r="C9" s="7">
        <v>3.75762743832853</v>
      </c>
      <c r="D9" s="26">
        <v>5528.78921291067</v>
      </c>
    </row>
    <row r="10" spans="1:4">
      <c r="A10" s="6"/>
      <c r="B10" s="2" t="s">
        <v>392</v>
      </c>
      <c r="C10" s="7">
        <v>5.83316553456878</v>
      </c>
      <c r="D10" s="26">
        <v>1291.08126863558</v>
      </c>
    </row>
    <row r="11" spans="1:2">
      <c r="A11" s="2"/>
      <c r="B11" s="2"/>
    </row>
    <row r="12" spans="1:2">
      <c r="A12" s="2"/>
      <c r="B12" s="2"/>
    </row>
    <row r="13" spans="1:12">
      <c r="A13" s="2"/>
      <c r="B13" s="2"/>
      <c r="F13" s="15"/>
      <c r="G13" s="15"/>
      <c r="H13" s="15"/>
      <c r="I13" s="15"/>
      <c r="J13" s="15"/>
      <c r="K13" s="15"/>
      <c r="L13" s="15"/>
    </row>
    <row r="14" spans="1:2">
      <c r="A14" s="2"/>
      <c r="B14" s="2"/>
    </row>
    <row r="16" spans="3:4">
      <c r="C16" t="s">
        <v>384</v>
      </c>
      <c r="D16" t="s">
        <v>385</v>
      </c>
    </row>
    <row r="17" ht="11.25" customHeight="1" spans="1:12">
      <c r="A17" s="2"/>
      <c r="B17" s="2" t="s">
        <v>387</v>
      </c>
      <c r="C17" s="7">
        <v>6.9380800258352</v>
      </c>
      <c r="D17" s="26">
        <v>3402.31018881457</v>
      </c>
      <c r="F17" s="10"/>
      <c r="G17" s="11" t="s">
        <v>395</v>
      </c>
      <c r="H17" s="11"/>
      <c r="I17" s="11"/>
      <c r="J17" s="11"/>
      <c r="K17" s="11"/>
      <c r="L17" s="11"/>
    </row>
    <row r="18" ht="14.25" customHeight="1" spans="1:12">
      <c r="A18" s="2"/>
      <c r="B18" s="2" t="s">
        <v>388</v>
      </c>
      <c r="C18" s="7">
        <v>9.33217375404629</v>
      </c>
      <c r="D18" s="49">
        <v>6747.51994401026</v>
      </c>
      <c r="F18" s="12"/>
      <c r="G18" s="13"/>
      <c r="H18" s="13"/>
      <c r="I18" s="13"/>
      <c r="J18" s="13"/>
      <c r="K18" s="13"/>
      <c r="L18" s="13"/>
    </row>
    <row r="19" spans="1:4">
      <c r="A19" s="2"/>
      <c r="B19" s="2" t="s">
        <v>389</v>
      </c>
      <c r="C19" s="7">
        <v>7.79928032016639</v>
      </c>
      <c r="D19" s="49">
        <v>10089.9104747588</v>
      </c>
    </row>
    <row r="20" spans="1:4">
      <c r="A20" s="2"/>
      <c r="B20" s="2" t="s">
        <v>390</v>
      </c>
      <c r="C20" s="7">
        <v>7.18502135690122</v>
      </c>
      <c r="D20" s="49">
        <v>14044.997974588</v>
      </c>
    </row>
    <row r="21" spans="1:4">
      <c r="A21" s="2"/>
      <c r="B21" s="2" t="s">
        <v>391</v>
      </c>
      <c r="C21" s="7">
        <v>5.73512496201463</v>
      </c>
      <c r="D21" s="49">
        <v>3761.66464691302</v>
      </c>
    </row>
    <row r="22" spans="1:4">
      <c r="A22" s="2"/>
      <c r="B22" s="2" t="s">
        <v>388</v>
      </c>
      <c r="C22" s="7">
        <v>5.04942171814375</v>
      </c>
      <c r="D22" s="49">
        <v>7282.86150572912</v>
      </c>
    </row>
    <row r="23" spans="1:4">
      <c r="A23" s="2"/>
      <c r="B23" s="2" t="s">
        <v>389</v>
      </c>
      <c r="C23" s="7">
        <v>4.60958876732522</v>
      </c>
      <c r="D23" s="26">
        <v>10771.8086416288</v>
      </c>
    </row>
    <row r="24" spans="1:4">
      <c r="A24" s="2"/>
      <c r="B24" s="2" t="s">
        <v>390</v>
      </c>
      <c r="C24" s="7">
        <v>4.99523425051864</v>
      </c>
      <c r="D24" s="26">
        <v>15962.4682738895</v>
      </c>
    </row>
    <row r="25" spans="1:4">
      <c r="A25" s="6"/>
      <c r="B25" s="2" t="s">
        <v>392</v>
      </c>
      <c r="C25" s="7">
        <v>4.97988317918643</v>
      </c>
      <c r="D25" s="26">
        <v>4371.09422411205</v>
      </c>
    </row>
    <row r="26" spans="1:2">
      <c r="A26" s="2"/>
      <c r="B26" s="2"/>
    </row>
    <row r="27" spans="1:2">
      <c r="A27" s="2"/>
      <c r="B27" s="2"/>
    </row>
    <row r="28" s="23" customFormat="1" spans="1:2">
      <c r="A28" s="2"/>
      <c r="B28" s="2"/>
    </row>
    <row r="29" spans="1:12">
      <c r="A29" s="2"/>
      <c r="B29" s="2"/>
      <c r="F29" s="15"/>
      <c r="G29" s="15"/>
      <c r="H29" s="15"/>
      <c r="I29" s="15"/>
      <c r="J29" s="15"/>
      <c r="K29" s="15"/>
      <c r="L29" s="15"/>
    </row>
  </sheetData>
  <mergeCells count="6">
    <mergeCell ref="F13:L13"/>
    <mergeCell ref="F29:L29"/>
    <mergeCell ref="F1:F2"/>
    <mergeCell ref="F17:F18"/>
    <mergeCell ref="G17:L18"/>
    <mergeCell ref="G1:L2"/>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workbookViewId="0">
      <selection activeCell="E33" sqref="E33"/>
    </sheetView>
  </sheetViews>
  <sheetFormatPr defaultColWidth="10" defaultRowHeight="15.75"/>
  <cols>
    <col min="1" max="1" width="9" style="28"/>
    <col min="2" max="2" width="10.375"/>
    <col min="5" max="5" width="54.75" customWidth="1"/>
    <col min="6" max="6" width="1.75" customWidth="1"/>
  </cols>
  <sheetData>
    <row r="1" ht="11.25" customHeight="1" spans="3:12">
      <c r="C1" t="s">
        <v>384</v>
      </c>
      <c r="D1" t="s">
        <v>385</v>
      </c>
      <c r="F1" s="10"/>
      <c r="G1" s="11" t="s">
        <v>396</v>
      </c>
      <c r="H1" s="11"/>
      <c r="I1" s="11"/>
      <c r="J1" s="11"/>
      <c r="K1" s="11"/>
      <c r="L1" s="11"/>
    </row>
    <row r="2" ht="14.1" customHeight="1" spans="1:12">
      <c r="A2" s="2"/>
      <c r="B2" s="2" t="s">
        <v>397</v>
      </c>
      <c r="C2" s="7">
        <v>2.76879722270307</v>
      </c>
      <c r="D2" s="20">
        <v>5076</v>
      </c>
      <c r="F2" s="12"/>
      <c r="G2" s="13"/>
      <c r="H2" s="13"/>
      <c r="I2" s="13"/>
      <c r="J2" s="13"/>
      <c r="K2" s="13"/>
      <c r="L2" s="13"/>
    </row>
    <row r="3" customFormat="1" spans="1:4">
      <c r="A3" s="2"/>
      <c r="B3" s="2" t="s">
        <v>387</v>
      </c>
      <c r="C3" s="7">
        <v>6</v>
      </c>
      <c r="D3" s="20">
        <v>1275</v>
      </c>
    </row>
    <row r="4" customFormat="1" spans="1:4">
      <c r="A4" s="2"/>
      <c r="B4" s="2" t="s">
        <v>388</v>
      </c>
      <c r="C4" s="7">
        <v>8.95329289482092</v>
      </c>
      <c r="D4" s="26">
        <v>2663.16126</v>
      </c>
    </row>
    <row r="5" customFormat="1" spans="1:4">
      <c r="A5" s="2"/>
      <c r="B5" s="2" t="s">
        <v>389</v>
      </c>
      <c r="C5" s="7">
        <v>8.8</v>
      </c>
      <c r="D5" s="26">
        <v>4115.1</v>
      </c>
    </row>
    <row r="6" customFormat="1" spans="1:4">
      <c r="A6" s="2"/>
      <c r="B6" s="2" t="s">
        <v>390</v>
      </c>
      <c r="C6" s="7">
        <v>8.50738622920822</v>
      </c>
      <c r="D6" s="26">
        <v>5674.68403676175</v>
      </c>
    </row>
    <row r="7" customFormat="1" spans="1:4">
      <c r="A7" s="2"/>
      <c r="B7" s="2" t="s">
        <v>391</v>
      </c>
      <c r="C7" s="7">
        <v>11.004777197834</v>
      </c>
      <c r="D7" s="26">
        <v>1418.22814578</v>
      </c>
    </row>
    <row r="8" customFormat="1" spans="1:4">
      <c r="A8" s="2"/>
      <c r="B8" s="2" t="s">
        <v>388</v>
      </c>
      <c r="C8" s="7">
        <v>7.56762129951329</v>
      </c>
      <c r="D8" s="26">
        <v>2876</v>
      </c>
    </row>
    <row r="9" customFormat="1" spans="1:4">
      <c r="A9" s="2"/>
      <c r="B9" s="2" t="s">
        <v>389</v>
      </c>
      <c r="C9" s="7">
        <v>6.5</v>
      </c>
      <c r="D9" s="26">
        <v>4424.96</v>
      </c>
    </row>
    <row r="10" customFormat="1" spans="1:4">
      <c r="A10" s="6"/>
      <c r="B10" s="2" t="s">
        <v>390</v>
      </c>
      <c r="C10" s="7">
        <v>7.1</v>
      </c>
      <c r="D10" s="26">
        <v>6305</v>
      </c>
    </row>
    <row r="11" customFormat="1" spans="1:2">
      <c r="A11" s="2"/>
      <c r="B11" s="2"/>
    </row>
    <row r="12" customFormat="1" spans="1:2">
      <c r="A12" s="2"/>
      <c r="B12" s="2"/>
    </row>
    <row r="13" spans="1:12">
      <c r="A13" s="2"/>
      <c r="B13" s="2"/>
      <c r="F13" s="15"/>
      <c r="G13" s="15"/>
      <c r="H13" s="15"/>
      <c r="I13" s="15"/>
      <c r="J13" s="15"/>
      <c r="K13" s="15"/>
      <c r="L13" s="15"/>
    </row>
    <row r="14" customFormat="1" spans="1:2">
      <c r="A14" s="2"/>
      <c r="B14" s="2"/>
    </row>
    <row r="16" customFormat="1" spans="1:4">
      <c r="A16" s="28"/>
      <c r="C16" t="s">
        <v>384</v>
      </c>
      <c r="D16" t="s">
        <v>385</v>
      </c>
    </row>
    <row r="17" ht="11.25" customHeight="1" spans="1:12">
      <c r="A17" s="2"/>
      <c r="B17" s="4">
        <v>45352</v>
      </c>
      <c r="C17" s="7">
        <v>3.53</v>
      </c>
      <c r="D17" s="26">
        <v>255.10669</v>
      </c>
      <c r="F17" s="10"/>
      <c r="G17" s="11" t="s">
        <v>398</v>
      </c>
      <c r="H17" s="11"/>
      <c r="I17" s="11"/>
      <c r="J17" s="11"/>
      <c r="K17" s="11"/>
      <c r="L17" s="11"/>
    </row>
    <row r="18" ht="14.25" customHeight="1" spans="1:12">
      <c r="A18" s="2"/>
      <c r="B18" s="2" t="s">
        <v>399</v>
      </c>
      <c r="C18" s="7">
        <v>5.64</v>
      </c>
      <c r="D18" s="26">
        <v>350.94847</v>
      </c>
      <c r="F18" s="12"/>
      <c r="G18" s="13"/>
      <c r="H18" s="13"/>
      <c r="I18" s="13"/>
      <c r="J18" s="13"/>
      <c r="K18" s="13"/>
      <c r="L18" s="13"/>
    </row>
    <row r="19" customFormat="1" spans="1:4">
      <c r="A19" s="2"/>
      <c r="B19" s="2" t="s">
        <v>400</v>
      </c>
      <c r="C19" s="7">
        <v>5.7</v>
      </c>
      <c r="D19" s="26">
        <v>452.55781</v>
      </c>
    </row>
    <row r="20" customFormat="1" spans="1:4">
      <c r="A20" s="2"/>
      <c r="B20" s="2" t="s">
        <v>401</v>
      </c>
      <c r="C20" s="7">
        <v>5.7</v>
      </c>
      <c r="D20" s="26">
        <v>586.18027</v>
      </c>
    </row>
    <row r="21" customFormat="1" spans="1:4">
      <c r="A21" s="2"/>
      <c r="B21" s="2" t="s">
        <v>402</v>
      </c>
      <c r="C21" s="7">
        <v>5.1</v>
      </c>
      <c r="D21" s="26">
        <v>677.00059</v>
      </c>
    </row>
    <row r="22" customFormat="1" spans="1:4">
      <c r="A22" s="2"/>
      <c r="B22" s="2" t="s">
        <v>403</v>
      </c>
      <c r="C22" s="7">
        <v>4.59</v>
      </c>
      <c r="D22" s="26">
        <v>789.16016</v>
      </c>
    </row>
    <row r="23" customFormat="1" spans="1:4">
      <c r="A23" s="2"/>
      <c r="B23" s="2" t="s">
        <v>404</v>
      </c>
      <c r="C23" s="7">
        <v>4.8</v>
      </c>
      <c r="D23" s="26">
        <v>917.4</v>
      </c>
    </row>
    <row r="24" customFormat="1" spans="1:4">
      <c r="A24" s="2"/>
      <c r="B24" s="2" t="s">
        <v>405</v>
      </c>
      <c r="C24" s="7">
        <v>4.8</v>
      </c>
      <c r="D24" s="26">
        <v>1019.34507</v>
      </c>
    </row>
    <row r="25" customFormat="1" spans="1:4">
      <c r="A25" s="6"/>
      <c r="B25" s="2" t="s">
        <v>406</v>
      </c>
      <c r="C25" s="9">
        <v>4.8</v>
      </c>
      <c r="D25" s="59">
        <v>1136.32024</v>
      </c>
    </row>
    <row r="26" customFormat="1" spans="1:4">
      <c r="A26" s="2"/>
      <c r="B26" s="2" t="s">
        <v>407</v>
      </c>
      <c r="C26" s="9">
        <v>5.2</v>
      </c>
      <c r="D26" s="59">
        <v>1268.72896</v>
      </c>
    </row>
    <row r="27" customFormat="1" spans="1:4">
      <c r="A27" s="2"/>
      <c r="B27" s="4">
        <v>45689</v>
      </c>
      <c r="C27" s="61">
        <v>16</v>
      </c>
      <c r="D27" s="62">
        <v>156.49777</v>
      </c>
    </row>
    <row r="28" s="23" customFormat="1" spans="1:4">
      <c r="A28" s="2"/>
      <c r="B28" s="4" t="s">
        <v>93</v>
      </c>
      <c r="C28" s="61">
        <v>14.7</v>
      </c>
      <c r="D28" s="62">
        <v>284.91889</v>
      </c>
    </row>
    <row r="29" spans="1:12">
      <c r="A29" s="2"/>
      <c r="B29" s="2"/>
      <c r="F29" s="15"/>
      <c r="G29" s="15"/>
      <c r="H29" s="15"/>
      <c r="I29" s="15"/>
      <c r="J29" s="15"/>
      <c r="K29" s="15"/>
      <c r="L29" s="15"/>
    </row>
  </sheetData>
  <mergeCells count="6">
    <mergeCell ref="F13:L13"/>
    <mergeCell ref="F29:L29"/>
    <mergeCell ref="F1:F2"/>
    <mergeCell ref="F17:F18"/>
    <mergeCell ref="G1:L2"/>
    <mergeCell ref="G17:L18"/>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selection activeCell="D32" sqref="D32"/>
    </sheetView>
  </sheetViews>
  <sheetFormatPr defaultColWidth="10" defaultRowHeight="15.75"/>
  <cols>
    <col min="2" max="3" width="11.625" customWidth="1"/>
    <col min="6" max="6" width="33.625" customWidth="1"/>
    <col min="7" max="7" width="1.75" customWidth="1"/>
  </cols>
  <sheetData>
    <row r="1" spans="3:5">
      <c r="C1" s="22" t="s">
        <v>408</v>
      </c>
      <c r="D1" s="22" t="s">
        <v>409</v>
      </c>
      <c r="E1" s="24" t="s">
        <v>410</v>
      </c>
    </row>
    <row r="2" spans="1:6">
      <c r="A2" s="2"/>
      <c r="B2" s="4">
        <v>45352</v>
      </c>
      <c r="C2" s="7">
        <v>-3.192</v>
      </c>
      <c r="D2" s="9">
        <v>3.20340733633979</v>
      </c>
      <c r="E2" s="59">
        <v>1013.41761</v>
      </c>
      <c r="F2" s="2"/>
    </row>
    <row r="3" ht="11.25" customHeight="1" spans="2:13">
      <c r="B3" s="2" t="s">
        <v>399</v>
      </c>
      <c r="C3" s="7">
        <v>7.46918885878254</v>
      </c>
      <c r="D3" s="9">
        <v>4.47269148483707</v>
      </c>
      <c r="E3" s="59">
        <v>1361.429989117</v>
      </c>
      <c r="G3" s="10"/>
      <c r="H3" s="11" t="s">
        <v>411</v>
      </c>
      <c r="I3" s="11"/>
      <c r="J3" s="11"/>
      <c r="K3" s="11"/>
      <c r="L3" s="11"/>
      <c r="M3" s="11"/>
    </row>
    <row r="4" ht="14.25" customHeight="1" spans="1:13">
      <c r="A4" s="2"/>
      <c r="B4" s="2" t="s">
        <v>400</v>
      </c>
      <c r="C4" s="7">
        <v>3.31415</v>
      </c>
      <c r="D4" s="9">
        <v>4.25024452477749</v>
      </c>
      <c r="E4" s="59">
        <v>1718.25557</v>
      </c>
      <c r="G4" s="12"/>
      <c r="H4" s="13"/>
      <c r="I4" s="13"/>
      <c r="J4" s="13"/>
      <c r="K4" s="13"/>
      <c r="L4" s="13"/>
      <c r="M4" s="13"/>
    </row>
    <row r="5" spans="1:5">
      <c r="A5" s="2"/>
      <c r="B5" s="2" t="s">
        <v>401</v>
      </c>
      <c r="C5" s="7">
        <v>1.053</v>
      </c>
      <c r="D5" s="9">
        <v>3.95949211120264</v>
      </c>
      <c r="E5" s="59">
        <v>2124.11701</v>
      </c>
    </row>
    <row r="6" spans="1:5">
      <c r="A6" s="2"/>
      <c r="B6" s="2" t="s">
        <v>402</v>
      </c>
      <c r="C6" s="7">
        <v>3.67443</v>
      </c>
      <c r="D6" s="9">
        <v>3.95487549419685</v>
      </c>
      <c r="E6" s="59">
        <v>2465.6</v>
      </c>
    </row>
    <row r="7" spans="1:5">
      <c r="A7" s="2"/>
      <c r="B7" s="2" t="s">
        <v>403</v>
      </c>
      <c r="C7" s="7">
        <v>2.1</v>
      </c>
      <c r="D7" s="9">
        <v>3.8</v>
      </c>
      <c r="E7" s="59">
        <v>2841.36451</v>
      </c>
    </row>
    <row r="8" spans="1:5">
      <c r="A8" s="2"/>
      <c r="B8" s="2" t="s">
        <v>404</v>
      </c>
      <c r="C8" s="7">
        <v>5.7</v>
      </c>
      <c r="D8" s="9">
        <v>4.2</v>
      </c>
      <c r="E8" s="59">
        <v>3252.31148</v>
      </c>
    </row>
    <row r="9" spans="1:5">
      <c r="A9" s="2"/>
      <c r="B9" s="2" t="s">
        <v>405</v>
      </c>
      <c r="C9" s="7">
        <v>0.2</v>
      </c>
      <c r="D9" s="9">
        <v>3.6</v>
      </c>
      <c r="E9" s="59">
        <v>3597.57547</v>
      </c>
    </row>
    <row r="10" spans="1:5">
      <c r="A10" s="2"/>
      <c r="B10" s="2" t="s">
        <v>406</v>
      </c>
      <c r="C10" s="7">
        <v>4</v>
      </c>
      <c r="D10" s="9">
        <v>3.7</v>
      </c>
      <c r="E10" s="59">
        <v>3984.7</v>
      </c>
    </row>
    <row r="11" spans="1:5">
      <c r="A11" s="2"/>
      <c r="B11" s="2" t="s">
        <v>407</v>
      </c>
      <c r="C11" s="7">
        <v>4.4</v>
      </c>
      <c r="D11" s="9">
        <v>4</v>
      </c>
      <c r="E11" s="59">
        <v>4409.07316</v>
      </c>
    </row>
    <row r="12" spans="1:5">
      <c r="A12" s="2"/>
      <c r="B12" s="4">
        <v>45689</v>
      </c>
      <c r="C12" s="7">
        <v>34</v>
      </c>
      <c r="D12" s="9">
        <v>5.7</v>
      </c>
      <c r="E12" s="59">
        <v>658.29427235</v>
      </c>
    </row>
    <row r="13" spans="1:5">
      <c r="A13" s="2"/>
      <c r="B13" s="4" t="s">
        <v>93</v>
      </c>
      <c r="C13" s="7">
        <v>9</v>
      </c>
      <c r="D13" s="9">
        <v>6.97109827145629</v>
      </c>
      <c r="E13" s="59">
        <v>1073.171983088</v>
      </c>
    </row>
    <row r="15" s="1" customFormat="1" spans="7:13">
      <c r="G15" s="15"/>
      <c r="H15" s="15"/>
      <c r="I15" s="15"/>
      <c r="J15" s="15"/>
      <c r="K15" s="15"/>
      <c r="L15" s="15"/>
      <c r="M15" s="15"/>
    </row>
    <row r="20" ht="14.25" customHeight="1" spans="3:13">
      <c r="C20" s="22" t="s">
        <v>408</v>
      </c>
      <c r="D20" s="22" t="s">
        <v>409</v>
      </c>
      <c r="E20" s="24" t="s">
        <v>410</v>
      </c>
      <c r="G20" s="10"/>
      <c r="H20" s="11" t="s">
        <v>412</v>
      </c>
      <c r="I20" s="11"/>
      <c r="J20" s="11"/>
      <c r="K20" s="11"/>
      <c r="L20" s="11"/>
      <c r="M20" s="11"/>
    </row>
    <row r="21" ht="14.25" customHeight="1" spans="2:13">
      <c r="B21" s="4">
        <v>45352</v>
      </c>
      <c r="C21" s="7">
        <v>2.2144673903</v>
      </c>
      <c r="D21" s="7">
        <v>9.3533653087</v>
      </c>
      <c r="E21" s="59">
        <v>97.85268814</v>
      </c>
      <c r="G21" s="12"/>
      <c r="H21" s="13"/>
      <c r="I21" s="13"/>
      <c r="J21" s="13"/>
      <c r="K21" s="13"/>
      <c r="L21" s="13"/>
      <c r="M21" s="13"/>
    </row>
    <row r="22" spans="2:5">
      <c r="B22" s="2" t="s">
        <v>399</v>
      </c>
      <c r="C22" s="7">
        <v>3.4357742719</v>
      </c>
      <c r="D22" s="7">
        <v>7.6353292361</v>
      </c>
      <c r="E22" s="59">
        <v>135.71789957</v>
      </c>
    </row>
    <row r="23" spans="1:5">
      <c r="A23" s="2"/>
      <c r="B23" s="2" t="s">
        <v>400</v>
      </c>
      <c r="C23" s="7">
        <v>1.8048425085</v>
      </c>
      <c r="D23" s="7">
        <v>6.3023505301</v>
      </c>
      <c r="E23" s="59">
        <v>173.76328495</v>
      </c>
    </row>
    <row r="24" spans="1:5">
      <c r="A24" s="2"/>
      <c r="B24" s="2" t="s">
        <v>401</v>
      </c>
      <c r="C24" s="7">
        <v>-3.4698477408</v>
      </c>
      <c r="D24" s="7">
        <v>4.4105429858</v>
      </c>
      <c r="E24" s="59">
        <v>211.64305584</v>
      </c>
    </row>
    <row r="25" spans="1:5">
      <c r="A25" s="2"/>
      <c r="B25" s="2" t="s">
        <v>402</v>
      </c>
      <c r="C25" s="7">
        <v>8.4401017388</v>
      </c>
      <c r="D25" s="7">
        <v>5.0882962807</v>
      </c>
      <c r="E25" s="59">
        <v>256.09005239</v>
      </c>
    </row>
    <row r="26" spans="1:5">
      <c r="A26" s="2"/>
      <c r="B26" s="2" t="s">
        <v>403</v>
      </c>
      <c r="C26" s="7">
        <v>6.5702874425</v>
      </c>
      <c r="D26" s="7">
        <v>5.3051663831</v>
      </c>
      <c r="E26" s="59">
        <v>300.60871346</v>
      </c>
    </row>
    <row r="27" spans="1:5">
      <c r="A27" s="2"/>
      <c r="B27" s="2" t="s">
        <v>404</v>
      </c>
      <c r="C27" s="7">
        <v>3.2085994586</v>
      </c>
      <c r="D27" s="7">
        <v>5.0463330544</v>
      </c>
      <c r="E27" s="59">
        <v>342.10463499</v>
      </c>
    </row>
    <row r="28" spans="1:5">
      <c r="A28" s="2"/>
      <c r="B28" s="2" t="s">
        <v>405</v>
      </c>
      <c r="C28" s="7">
        <v>6.8105640943</v>
      </c>
      <c r="D28" s="7">
        <v>5.2190338329</v>
      </c>
      <c r="E28" s="59">
        <v>379.85069837</v>
      </c>
    </row>
    <row r="29" spans="1:5">
      <c r="A29" s="2"/>
      <c r="B29" s="2" t="s">
        <v>406</v>
      </c>
      <c r="C29" s="7">
        <v>3.1801458193</v>
      </c>
      <c r="D29" s="7">
        <v>5.0310098433</v>
      </c>
      <c r="E29" s="59">
        <v>417.69090563</v>
      </c>
    </row>
    <row r="30" spans="1:5">
      <c r="A30" s="2"/>
      <c r="B30" s="2" t="s">
        <v>407</v>
      </c>
      <c r="C30" s="7">
        <v>5.4784771731</v>
      </c>
      <c r="D30" s="7">
        <v>5.0708028313</v>
      </c>
      <c r="E30" s="59">
        <v>458.63530468</v>
      </c>
    </row>
    <row r="31" spans="1:13">
      <c r="A31" s="2"/>
      <c r="B31" s="4">
        <v>45689</v>
      </c>
      <c r="C31" s="7">
        <v>36.0382107353</v>
      </c>
      <c r="D31" s="7">
        <v>-0.3156053975</v>
      </c>
      <c r="E31" s="59">
        <v>59.00123338</v>
      </c>
      <c r="G31" s="60"/>
      <c r="H31" s="60"/>
      <c r="I31" s="60"/>
      <c r="J31" s="60"/>
      <c r="K31" s="60"/>
      <c r="L31" s="60"/>
      <c r="M31" s="60"/>
    </row>
    <row r="32" spans="1:13">
      <c r="A32" s="53"/>
      <c r="B32" s="4" t="s">
        <v>93</v>
      </c>
      <c r="C32" s="7">
        <v>4.303154748</v>
      </c>
      <c r="D32" s="7">
        <v>1.5094110321</v>
      </c>
      <c r="E32" s="59">
        <v>99.32968741</v>
      </c>
      <c r="G32" s="15"/>
      <c r="H32" s="15"/>
      <c r="I32" s="15"/>
      <c r="J32" s="15"/>
      <c r="K32" s="15"/>
      <c r="L32" s="15"/>
      <c r="M32" s="15"/>
    </row>
    <row r="33" spans="1:5">
      <c r="A33" s="53"/>
      <c r="B33" s="2"/>
      <c r="C33" s="7"/>
      <c r="D33" s="7"/>
      <c r="E33" s="59"/>
    </row>
    <row r="34" spans="1:3">
      <c r="A34" s="53"/>
      <c r="C34" s="54"/>
    </row>
    <row r="35" spans="1:3">
      <c r="A35" s="53"/>
      <c r="C35" s="54"/>
    </row>
    <row r="36" spans="1:3">
      <c r="A36" s="53"/>
      <c r="C36" s="55"/>
    </row>
    <row r="37" spans="1:3">
      <c r="A37" s="53"/>
      <c r="C37" s="56"/>
    </row>
    <row r="38" spans="1:4">
      <c r="A38" s="53"/>
      <c r="D38" s="57"/>
    </row>
    <row r="39" spans="1:4">
      <c r="A39" s="53"/>
      <c r="D39" s="57"/>
    </row>
    <row r="40" spans="4:4">
      <c r="D40" s="57"/>
    </row>
    <row r="41" spans="1:4">
      <c r="A41" s="2"/>
      <c r="D41" s="58"/>
    </row>
  </sheetData>
  <mergeCells count="6">
    <mergeCell ref="G15:M15"/>
    <mergeCell ref="G32:M32"/>
    <mergeCell ref="G3:G4"/>
    <mergeCell ref="G20:G21"/>
    <mergeCell ref="H20:M21"/>
    <mergeCell ref="H3:M4"/>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7"/>
  <sheetViews>
    <sheetView workbookViewId="0">
      <selection activeCell="C25" sqref="C25"/>
    </sheetView>
  </sheetViews>
  <sheetFormatPr defaultColWidth="10" defaultRowHeight="15.75"/>
  <cols>
    <col min="1" max="1" width="11.625" customWidth="1"/>
    <col min="4" max="4" width="14.75" customWidth="1"/>
    <col min="5" max="5" width="1.625" customWidth="1"/>
    <col min="13" max="13" width="1.625" customWidth="1"/>
  </cols>
  <sheetData>
    <row r="1" spans="2:19">
      <c r="B1" s="2" t="s">
        <v>409</v>
      </c>
      <c r="C1" s="2"/>
      <c r="E1" s="50"/>
      <c r="F1" s="50"/>
      <c r="G1" s="50"/>
      <c r="H1" s="50"/>
      <c r="I1" s="50"/>
      <c r="J1" s="50"/>
      <c r="K1" s="50"/>
      <c r="M1" s="52"/>
      <c r="N1" s="52"/>
      <c r="O1" s="52"/>
      <c r="P1" s="52"/>
      <c r="Q1" s="52"/>
      <c r="R1" s="52"/>
      <c r="S1" s="52"/>
    </row>
    <row r="2" spans="1:3">
      <c r="A2" s="4">
        <v>45352</v>
      </c>
      <c r="B2" s="45">
        <v>5.8</v>
      </c>
      <c r="C2" s="47"/>
    </row>
    <row r="3" ht="14.25" customHeight="1" spans="1:19">
      <c r="A3" s="2" t="s">
        <v>399</v>
      </c>
      <c r="B3" s="45">
        <v>4.4</v>
      </c>
      <c r="C3" s="47"/>
      <c r="E3" s="10"/>
      <c r="F3" s="11" t="s">
        <v>413</v>
      </c>
      <c r="G3" s="11"/>
      <c r="H3" s="11"/>
      <c r="I3" s="11"/>
      <c r="J3" s="11"/>
      <c r="K3" s="11"/>
      <c r="M3" s="10"/>
      <c r="N3" s="11" t="s">
        <v>414</v>
      </c>
      <c r="O3" s="11"/>
      <c r="P3" s="11"/>
      <c r="Q3" s="11"/>
      <c r="R3" s="11"/>
      <c r="S3" s="11"/>
    </row>
    <row r="4" ht="14.25" customHeight="1" spans="1:19">
      <c r="A4" s="2" t="s">
        <v>400</v>
      </c>
      <c r="B4" s="45">
        <v>0.4</v>
      </c>
      <c r="C4" s="47"/>
      <c r="E4" s="12"/>
      <c r="F4" s="13"/>
      <c r="G4" s="13"/>
      <c r="H4" s="13"/>
      <c r="I4" s="13"/>
      <c r="J4" s="13"/>
      <c r="K4" s="13"/>
      <c r="M4" s="12"/>
      <c r="N4" s="13"/>
      <c r="O4" s="13"/>
      <c r="P4" s="13"/>
      <c r="Q4" s="13"/>
      <c r="R4" s="13"/>
      <c r="S4" s="13"/>
    </row>
    <row r="5" spans="1:3">
      <c r="A5" s="2" t="s">
        <v>401</v>
      </c>
      <c r="B5" s="45">
        <v>0.8</v>
      </c>
      <c r="C5" s="47"/>
    </row>
    <row r="6" spans="1:3">
      <c r="A6" s="2" t="s">
        <v>402</v>
      </c>
      <c r="B6" s="45">
        <v>-0.7</v>
      </c>
      <c r="C6" s="47"/>
    </row>
    <row r="7" spans="1:3">
      <c r="A7" s="2" t="s">
        <v>403</v>
      </c>
      <c r="B7" s="45">
        <v>-1.6</v>
      </c>
      <c r="C7" s="47"/>
    </row>
    <row r="8" spans="1:3">
      <c r="A8" s="2" t="s">
        <v>404</v>
      </c>
      <c r="B8" s="45">
        <v>0.1</v>
      </c>
      <c r="C8" s="47"/>
    </row>
    <row r="9" spans="1:3">
      <c r="A9" s="2" t="s">
        <v>405</v>
      </c>
      <c r="B9" s="45">
        <v>-1.5</v>
      </c>
      <c r="C9" s="47"/>
    </row>
    <row r="10" spans="1:3">
      <c r="A10" s="2" t="s">
        <v>406</v>
      </c>
      <c r="B10" s="45">
        <v>-3.1</v>
      </c>
      <c r="C10" s="47"/>
    </row>
    <row r="11" spans="1:3">
      <c r="A11" s="2" t="s">
        <v>407</v>
      </c>
      <c r="B11" s="45">
        <v>-2.9</v>
      </c>
      <c r="C11" s="46"/>
    </row>
    <row r="12" spans="1:3">
      <c r="A12" s="4">
        <v>45689</v>
      </c>
      <c r="B12" s="45">
        <v>0.1</v>
      </c>
      <c r="C12" s="46"/>
    </row>
    <row r="13" spans="1:3">
      <c r="A13" s="4" t="s">
        <v>93</v>
      </c>
      <c r="B13" s="45">
        <v>0.4</v>
      </c>
      <c r="C13" s="46"/>
    </row>
    <row r="14" spans="1:4">
      <c r="A14" s="2"/>
      <c r="B14" s="45"/>
      <c r="C14" s="45"/>
      <c r="D14" s="48"/>
    </row>
    <row r="15" spans="5:19">
      <c r="E15" s="15"/>
      <c r="F15" s="15"/>
      <c r="G15" s="15"/>
      <c r="H15" s="15"/>
      <c r="I15" s="15"/>
      <c r="J15" s="15"/>
      <c r="K15" s="15"/>
      <c r="M15" s="15"/>
      <c r="N15" s="15"/>
      <c r="O15" s="15"/>
      <c r="P15" s="15"/>
      <c r="Q15" s="15"/>
      <c r="R15" s="15"/>
      <c r="S15" s="15"/>
    </row>
    <row r="17" spans="1:4">
      <c r="A17" s="24"/>
      <c r="B17" s="24"/>
      <c r="C17" s="24"/>
      <c r="D17" s="24"/>
    </row>
    <row r="20" ht="14.25" customHeight="1" spans="5:19">
      <c r="E20" s="10"/>
      <c r="F20" s="11" t="s">
        <v>415</v>
      </c>
      <c r="G20" s="11"/>
      <c r="H20" s="11"/>
      <c r="I20" s="11"/>
      <c r="J20" s="11"/>
      <c r="K20" s="11"/>
      <c r="M20" s="10"/>
      <c r="N20" s="11" t="s">
        <v>416</v>
      </c>
      <c r="O20" s="11"/>
      <c r="P20" s="11"/>
      <c r="Q20" s="11"/>
      <c r="R20" s="11"/>
      <c r="S20" s="11"/>
    </row>
    <row r="21" ht="14.25" customHeight="1" spans="2:19">
      <c r="B21" s="2" t="s">
        <v>409</v>
      </c>
      <c r="C21" s="2"/>
      <c r="E21" s="12"/>
      <c r="F21" s="13"/>
      <c r="G21" s="13"/>
      <c r="H21" s="13"/>
      <c r="I21" s="13"/>
      <c r="J21" s="13"/>
      <c r="K21" s="13"/>
      <c r="M21" s="12"/>
      <c r="N21" s="13"/>
      <c r="O21" s="13"/>
      <c r="P21" s="13"/>
      <c r="Q21" s="13"/>
      <c r="R21" s="13"/>
      <c r="S21" s="13"/>
    </row>
    <row r="22" spans="1:3">
      <c r="A22" s="4">
        <v>45352</v>
      </c>
      <c r="B22" s="7">
        <v>4.1</v>
      </c>
      <c r="C22" s="49"/>
    </row>
    <row r="23" spans="1:3">
      <c r="A23" s="2" t="s">
        <v>399</v>
      </c>
      <c r="B23" s="7">
        <v>5.3</v>
      </c>
      <c r="C23" s="49"/>
    </row>
    <row r="24" spans="1:3">
      <c r="A24" s="2" t="s">
        <v>400</v>
      </c>
      <c r="B24" s="7">
        <v>1.9</v>
      </c>
      <c r="C24" s="49"/>
    </row>
    <row r="25" spans="1:3">
      <c r="A25" s="2" t="s">
        <v>401</v>
      </c>
      <c r="B25" s="7">
        <v>1.1</v>
      </c>
      <c r="C25" s="49"/>
    </row>
    <row r="26" spans="1:3">
      <c r="A26" s="2" t="s">
        <v>402</v>
      </c>
      <c r="B26" s="7">
        <v>1.6</v>
      </c>
      <c r="C26" s="49"/>
    </row>
    <row r="27" spans="1:3">
      <c r="A27" s="2" t="s">
        <v>403</v>
      </c>
      <c r="B27" s="7">
        <v>0.9</v>
      </c>
      <c r="C27" s="49"/>
    </row>
    <row r="28" spans="1:3">
      <c r="A28" s="2" t="s">
        <v>404</v>
      </c>
      <c r="B28" s="7">
        <v>1.4</v>
      </c>
      <c r="C28" s="49"/>
    </row>
    <row r="29" spans="1:3">
      <c r="A29" s="2" t="s">
        <v>405</v>
      </c>
      <c r="B29" s="7">
        <v>-0.6</v>
      </c>
      <c r="C29" s="49"/>
    </row>
    <row r="30" spans="1:3">
      <c r="A30" s="2" t="s">
        <v>406</v>
      </c>
      <c r="B30" s="7">
        <v>-2.9</v>
      </c>
      <c r="C30" s="49"/>
    </row>
    <row r="31" spans="1:19">
      <c r="A31" s="2" t="s">
        <v>407</v>
      </c>
      <c r="B31" s="7">
        <v>-4.1</v>
      </c>
      <c r="C31" s="26"/>
      <c r="D31" s="1"/>
      <c r="E31" s="1"/>
      <c r="F31" s="1"/>
      <c r="G31" s="1"/>
      <c r="H31" s="1"/>
      <c r="I31" s="1"/>
      <c r="J31" s="1"/>
      <c r="K31" s="1"/>
      <c r="M31" s="1"/>
      <c r="N31" s="1"/>
      <c r="O31" s="1"/>
      <c r="P31" s="1"/>
      <c r="Q31" s="1"/>
      <c r="R31" s="1"/>
      <c r="S31" s="1"/>
    </row>
    <row r="32" spans="1:19">
      <c r="A32" s="4">
        <v>45689</v>
      </c>
      <c r="B32" s="7">
        <v>-2.4</v>
      </c>
      <c r="C32" s="26"/>
      <c r="E32" s="15"/>
      <c r="F32" s="15"/>
      <c r="G32" s="15"/>
      <c r="H32" s="15"/>
      <c r="I32" s="15"/>
      <c r="J32" s="15"/>
      <c r="K32" s="15"/>
      <c r="M32" s="15"/>
      <c r="N32" s="15"/>
      <c r="O32" s="15"/>
      <c r="P32" s="15"/>
      <c r="Q32" s="15"/>
      <c r="R32" s="15"/>
      <c r="S32" s="15"/>
    </row>
    <row r="33" spans="1:3">
      <c r="A33" s="4" t="s">
        <v>93</v>
      </c>
      <c r="B33" s="7">
        <v>-4.7</v>
      </c>
      <c r="C33" s="26"/>
    </row>
    <row r="34" spans="1:1">
      <c r="A34" s="2"/>
    </row>
    <row r="35" spans="6:9">
      <c r="F35" s="51"/>
      <c r="G35" s="51"/>
      <c r="H35" s="51"/>
      <c r="I35" s="51"/>
    </row>
    <row r="36" spans="6:9">
      <c r="F36" s="51"/>
      <c r="G36" s="51"/>
      <c r="H36" s="51"/>
      <c r="I36" s="51"/>
    </row>
    <row r="37" spans="6:9">
      <c r="F37" s="51"/>
      <c r="G37" s="51"/>
      <c r="H37" s="51"/>
      <c r="I37" s="51"/>
    </row>
  </sheetData>
  <mergeCells count="14">
    <mergeCell ref="E1:K1"/>
    <mergeCell ref="M1:S1"/>
    <mergeCell ref="E15:K15"/>
    <mergeCell ref="M15:S15"/>
    <mergeCell ref="E32:K32"/>
    <mergeCell ref="M32:S32"/>
    <mergeCell ref="E3:E4"/>
    <mergeCell ref="E20:E21"/>
    <mergeCell ref="M3:M4"/>
    <mergeCell ref="M20:M21"/>
    <mergeCell ref="F20:K21"/>
    <mergeCell ref="F3:K4"/>
    <mergeCell ref="N3:S4"/>
    <mergeCell ref="N20:S21"/>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7"/>
  <sheetViews>
    <sheetView workbookViewId="0">
      <selection activeCell="M1" sqref="M1:S1"/>
    </sheetView>
  </sheetViews>
  <sheetFormatPr defaultColWidth="10" defaultRowHeight="15.75"/>
  <cols>
    <col min="1" max="1" width="11.625" customWidth="1"/>
    <col min="4" max="4" width="14.75" customWidth="1"/>
    <col min="5" max="5" width="1.625" customWidth="1"/>
    <col min="13" max="13" width="1.625" customWidth="1"/>
  </cols>
  <sheetData>
    <row r="1" spans="2:19">
      <c r="B1" s="2" t="s">
        <v>409</v>
      </c>
      <c r="C1" s="2"/>
      <c r="E1" s="50"/>
      <c r="F1" s="50"/>
      <c r="G1" s="50"/>
      <c r="H1" s="50"/>
      <c r="I1" s="50"/>
      <c r="J1" s="50"/>
      <c r="K1" s="50"/>
      <c r="M1" s="52"/>
      <c r="N1" s="52"/>
      <c r="O1" s="52"/>
      <c r="P1" s="52"/>
      <c r="Q1" s="52"/>
      <c r="R1" s="52"/>
      <c r="S1" s="52"/>
    </row>
    <row r="2" customFormat="1" spans="1:3">
      <c r="A2" s="4">
        <v>45352</v>
      </c>
      <c r="B2" s="45">
        <v>13.8</v>
      </c>
      <c r="C2" s="47"/>
    </row>
    <row r="3" ht="14.25" customHeight="1" spans="1:19">
      <c r="A3" s="2" t="s">
        <v>399</v>
      </c>
      <c r="B3" s="45">
        <v>9.7</v>
      </c>
      <c r="C3" s="47"/>
      <c r="E3" s="10"/>
      <c r="F3" s="11" t="s">
        <v>417</v>
      </c>
      <c r="G3" s="11"/>
      <c r="H3" s="11"/>
      <c r="I3" s="11"/>
      <c r="J3" s="11"/>
      <c r="K3" s="11"/>
      <c r="M3" s="10"/>
      <c r="N3" s="11" t="s">
        <v>417</v>
      </c>
      <c r="O3" s="11"/>
      <c r="P3" s="11"/>
      <c r="Q3" s="11"/>
      <c r="R3" s="11"/>
      <c r="S3" s="11"/>
    </row>
    <row r="4" ht="14.25" customHeight="1" spans="1:19">
      <c r="A4" s="2" t="s">
        <v>400</v>
      </c>
      <c r="B4" s="45">
        <v>9</v>
      </c>
      <c r="C4" s="47"/>
      <c r="E4" s="12"/>
      <c r="F4" s="13"/>
      <c r="G4" s="13"/>
      <c r="H4" s="13"/>
      <c r="I4" s="13"/>
      <c r="J4" s="13"/>
      <c r="K4" s="13"/>
      <c r="M4" s="12"/>
      <c r="N4" s="13"/>
      <c r="O4" s="13"/>
      <c r="P4" s="13"/>
      <c r="Q4" s="13"/>
      <c r="R4" s="13"/>
      <c r="S4" s="13"/>
    </row>
    <row r="5" customFormat="1" spans="1:3">
      <c r="A5" s="2" t="s">
        <v>401</v>
      </c>
      <c r="B5" s="45">
        <v>8.5</v>
      </c>
      <c r="C5" s="47"/>
    </row>
    <row r="6" customFormat="1" spans="1:3">
      <c r="A6" s="2" t="s">
        <v>402</v>
      </c>
      <c r="B6" s="45">
        <v>4.9</v>
      </c>
      <c r="C6" s="47"/>
    </row>
    <row r="7" customFormat="1" spans="1:3">
      <c r="A7" s="2" t="s">
        <v>403</v>
      </c>
      <c r="B7" s="45">
        <v>2.5</v>
      </c>
      <c r="C7" s="47"/>
    </row>
    <row r="8" customFormat="1" spans="1:3">
      <c r="A8" s="2" t="s">
        <v>404</v>
      </c>
      <c r="B8" s="45">
        <v>4.7</v>
      </c>
      <c r="C8" s="47"/>
    </row>
    <row r="9" customFormat="1" spans="1:3">
      <c r="A9" s="2" t="s">
        <v>405</v>
      </c>
      <c r="B9" s="45">
        <v>0.5</v>
      </c>
      <c r="C9" s="47"/>
    </row>
    <row r="10" customFormat="1" spans="1:3">
      <c r="A10" s="2" t="s">
        <v>406</v>
      </c>
      <c r="B10" s="45">
        <v>1.1</v>
      </c>
      <c r="C10" s="47"/>
    </row>
    <row r="11" customFormat="1" spans="1:3">
      <c r="A11" s="2" t="s">
        <v>407</v>
      </c>
      <c r="B11" s="45">
        <v>1.9</v>
      </c>
      <c r="C11" s="46"/>
    </row>
    <row r="12" customFormat="1" spans="1:3">
      <c r="A12" s="4">
        <v>45689</v>
      </c>
      <c r="B12" s="45">
        <v>11.1</v>
      </c>
      <c r="C12" s="46"/>
    </row>
    <row r="13" customFormat="1" spans="1:3">
      <c r="A13" s="4" t="s">
        <v>93</v>
      </c>
      <c r="B13" s="45">
        <v>14.6</v>
      </c>
      <c r="C13" s="46"/>
    </row>
    <row r="14" customFormat="1" spans="1:4">
      <c r="A14" s="2"/>
      <c r="B14" s="45"/>
      <c r="C14" s="45"/>
      <c r="D14" s="48"/>
    </row>
    <row r="15" spans="5:19">
      <c r="E15" s="15"/>
      <c r="F15" s="15"/>
      <c r="G15" s="15"/>
      <c r="H15" s="15"/>
      <c r="I15" s="15"/>
      <c r="J15" s="15"/>
      <c r="K15" s="15"/>
      <c r="M15" s="15"/>
      <c r="N15" s="15"/>
      <c r="O15" s="15"/>
      <c r="P15" s="15"/>
      <c r="Q15" s="15"/>
      <c r="R15" s="15"/>
      <c r="S15" s="15"/>
    </row>
    <row r="16" customFormat="1"/>
    <row r="17" customFormat="1" spans="1:4">
      <c r="A17" s="24"/>
      <c r="B17" s="24"/>
      <c r="C17" s="24"/>
      <c r="D17" s="24"/>
    </row>
    <row r="18" customFormat="1" spans="10:10">
      <c r="J18" t="s">
        <v>418</v>
      </c>
    </row>
    <row r="19" customFormat="1"/>
    <row r="20" ht="14.25" customHeight="1" spans="5:19">
      <c r="E20" s="10"/>
      <c r="F20" s="11" t="s">
        <v>419</v>
      </c>
      <c r="G20" s="11"/>
      <c r="H20" s="11"/>
      <c r="I20" s="11"/>
      <c r="J20" s="11"/>
      <c r="K20" s="11"/>
      <c r="M20" s="10"/>
      <c r="N20" s="11" t="s">
        <v>419</v>
      </c>
      <c r="O20" s="11"/>
      <c r="P20" s="11"/>
      <c r="Q20" s="11"/>
      <c r="R20" s="11"/>
      <c r="S20" s="11"/>
    </row>
    <row r="21" ht="14.25" customHeight="1" spans="2:19">
      <c r="B21" s="2" t="s">
        <v>409</v>
      </c>
      <c r="C21" s="2"/>
      <c r="E21" s="12"/>
      <c r="F21" s="13"/>
      <c r="G21" s="13"/>
      <c r="H21" s="13"/>
      <c r="I21" s="13"/>
      <c r="J21" s="13"/>
      <c r="K21" s="13"/>
      <c r="M21" s="12"/>
      <c r="N21" s="13"/>
      <c r="O21" s="13"/>
      <c r="P21" s="13"/>
      <c r="Q21" s="13"/>
      <c r="R21" s="13"/>
      <c r="S21" s="13"/>
    </row>
    <row r="22" customFormat="1" spans="1:3">
      <c r="A22" s="4">
        <v>45352</v>
      </c>
      <c r="B22" s="7">
        <v>12.5</v>
      </c>
      <c r="C22" s="49"/>
    </row>
    <row r="23" customFormat="1" spans="1:3">
      <c r="A23" s="2" t="s">
        <v>399</v>
      </c>
      <c r="B23" s="7">
        <v>9.3</v>
      </c>
      <c r="C23" s="49"/>
    </row>
    <row r="24" customFormat="1" spans="1:3">
      <c r="A24" s="2" t="s">
        <v>400</v>
      </c>
      <c r="B24" s="7">
        <v>7.4</v>
      </c>
      <c r="C24" s="49"/>
    </row>
    <row r="25" customFormat="1" spans="1:3">
      <c r="A25" s="2" t="s">
        <v>401</v>
      </c>
      <c r="B25" s="7">
        <v>5.8</v>
      </c>
      <c r="C25" s="49"/>
    </row>
    <row r="26" customFormat="1" spans="1:3">
      <c r="A26" s="2" t="s">
        <v>402</v>
      </c>
      <c r="B26" s="7">
        <v>2.1</v>
      </c>
      <c r="C26" s="49"/>
    </row>
    <row r="27" customFormat="1" spans="1:3">
      <c r="A27" s="2" t="s">
        <v>403</v>
      </c>
      <c r="B27" s="7">
        <v>-0.3</v>
      </c>
      <c r="C27" s="49"/>
    </row>
    <row r="28" customFormat="1" spans="1:3">
      <c r="A28" s="2" t="s">
        <v>404</v>
      </c>
      <c r="B28" s="7">
        <v>2.8</v>
      </c>
      <c r="C28" s="49"/>
    </row>
    <row r="29" customFormat="1" spans="1:3">
      <c r="A29" s="2" t="s">
        <v>405</v>
      </c>
      <c r="B29" s="7">
        <v>-1.8</v>
      </c>
      <c r="C29" s="49"/>
    </row>
    <row r="30" customFormat="1" spans="1:3">
      <c r="A30" s="2" t="s">
        <v>406</v>
      </c>
      <c r="B30" s="7">
        <v>-1</v>
      </c>
      <c r="C30" s="49"/>
    </row>
    <row r="31" spans="1:19">
      <c r="A31" s="2" t="s">
        <v>407</v>
      </c>
      <c r="B31" s="7">
        <v>-0.1</v>
      </c>
      <c r="C31" s="26"/>
      <c r="D31" s="1"/>
      <c r="E31" s="1"/>
      <c r="F31" s="1"/>
      <c r="G31" s="1"/>
      <c r="H31" s="1"/>
      <c r="I31" s="1"/>
      <c r="J31" s="1"/>
      <c r="K31" s="1"/>
      <c r="M31" s="1"/>
      <c r="N31" s="1"/>
      <c r="O31" s="1"/>
      <c r="P31" s="1"/>
      <c r="Q31" s="1"/>
      <c r="R31" s="1"/>
      <c r="S31" s="1"/>
    </row>
    <row r="32" spans="1:19">
      <c r="A32" s="4">
        <v>45689</v>
      </c>
      <c r="B32" s="7">
        <v>7.4</v>
      </c>
      <c r="C32" s="26"/>
      <c r="E32" s="15"/>
      <c r="F32" s="15"/>
      <c r="G32" s="15"/>
      <c r="H32" s="15"/>
      <c r="I32" s="15"/>
      <c r="J32" s="15"/>
      <c r="K32" s="15"/>
      <c r="M32" s="15"/>
      <c r="N32" s="15"/>
      <c r="O32" s="15"/>
      <c r="P32" s="15"/>
      <c r="Q32" s="15"/>
      <c r="R32" s="15"/>
      <c r="S32" s="15"/>
    </row>
    <row r="33" customFormat="1" spans="1:3">
      <c r="A33" s="4" t="s">
        <v>93</v>
      </c>
      <c r="B33" s="7">
        <v>12.9</v>
      </c>
      <c r="C33" s="26"/>
    </row>
    <row r="34" customFormat="1" spans="1:1">
      <c r="A34" s="2"/>
    </row>
    <row r="35" customFormat="1" spans="6:9">
      <c r="F35" s="51"/>
      <c r="G35" s="51"/>
      <c r="H35" s="51"/>
      <c r="I35" s="51"/>
    </row>
    <row r="36" customFormat="1" spans="6:9">
      <c r="F36" s="51"/>
      <c r="G36" s="51"/>
      <c r="H36" s="51"/>
      <c r="I36" s="51"/>
    </row>
    <row r="37" customFormat="1" spans="6:9">
      <c r="F37" s="51"/>
      <c r="G37" s="51"/>
      <c r="H37" s="51"/>
      <c r="I37" s="51"/>
    </row>
  </sheetData>
  <mergeCells count="14">
    <mergeCell ref="E1:K1"/>
    <mergeCell ref="M1:S1"/>
    <mergeCell ref="E15:K15"/>
    <mergeCell ref="M15:S15"/>
    <mergeCell ref="E32:K32"/>
    <mergeCell ref="M32:S32"/>
    <mergeCell ref="E3:E4"/>
    <mergeCell ref="E20:E21"/>
    <mergeCell ref="M3:M4"/>
    <mergeCell ref="M20:M21"/>
    <mergeCell ref="F3:K4"/>
    <mergeCell ref="F20:K21"/>
    <mergeCell ref="N20:S21"/>
    <mergeCell ref="N3:S4"/>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5"/>
  <sheetViews>
    <sheetView workbookViewId="0">
      <selection activeCell="P25" sqref="P25"/>
    </sheetView>
  </sheetViews>
  <sheetFormatPr defaultColWidth="10" defaultRowHeight="15.75"/>
  <cols>
    <col min="2" max="2" width="12.875" customWidth="1"/>
    <col min="6" max="6" width="50.875" customWidth="1"/>
    <col min="7" max="7" width="1.75" customWidth="1"/>
  </cols>
  <sheetData>
    <row r="1" ht="14.25" customHeight="1" spans="3:5">
      <c r="C1" s="22" t="s">
        <v>408</v>
      </c>
      <c r="D1" s="22" t="s">
        <v>409</v>
      </c>
      <c r="E1" s="24" t="s">
        <v>410</v>
      </c>
    </row>
    <row r="2" ht="14.25" customHeight="1" spans="2:5">
      <c r="B2" s="4">
        <v>45352</v>
      </c>
      <c r="C2" s="45">
        <v>-4.99195156121496</v>
      </c>
      <c r="D2" s="45">
        <v>-0.220530746017246</v>
      </c>
      <c r="E2" s="46">
        <v>1673.48444</v>
      </c>
    </row>
    <row r="3" ht="11.25" customHeight="1" spans="2:13">
      <c r="B3" s="2" t="s">
        <v>399</v>
      </c>
      <c r="C3" s="45">
        <v>-3.20178517652194</v>
      </c>
      <c r="D3" s="45">
        <v>-1.03249629571819</v>
      </c>
      <c r="E3" s="46">
        <v>2281.15487510931</v>
      </c>
      <c r="G3" s="10"/>
      <c r="H3" s="11" t="s">
        <v>420</v>
      </c>
      <c r="I3" s="11"/>
      <c r="J3" s="11"/>
      <c r="K3" s="11"/>
      <c r="L3" s="11"/>
      <c r="M3" s="11"/>
    </row>
    <row r="4" ht="14.25" customHeight="1" spans="2:13">
      <c r="B4" s="2" t="s">
        <v>400</v>
      </c>
      <c r="C4" s="45">
        <v>7.16891727026321</v>
      </c>
      <c r="D4" s="45">
        <v>0.819995623833009</v>
      </c>
      <c r="E4" s="46">
        <v>3001.9068</v>
      </c>
      <c r="G4" s="12"/>
      <c r="H4" s="13"/>
      <c r="I4" s="13"/>
      <c r="J4" s="13"/>
      <c r="K4" s="13"/>
      <c r="L4" s="13"/>
      <c r="M4" s="13"/>
    </row>
    <row r="5" ht="14.25" customHeight="1" spans="2:5">
      <c r="B5" s="2" t="s">
        <v>401</v>
      </c>
      <c r="C5" s="45">
        <v>-3.49392013920125</v>
      </c>
      <c r="D5" s="45">
        <v>-0.0461647085373329</v>
      </c>
      <c r="E5" s="46">
        <v>3723.77642</v>
      </c>
    </row>
    <row r="6" ht="14.25" customHeight="1" spans="2:5">
      <c r="B6" s="2" t="s">
        <v>402</v>
      </c>
      <c r="C6" s="45">
        <v>4.89444897012947</v>
      </c>
      <c r="D6" s="45">
        <v>0.601249868461622</v>
      </c>
      <c r="E6" s="46">
        <v>4313.06942</v>
      </c>
    </row>
    <row r="7" ht="14.25" customHeight="1" spans="2:5">
      <c r="B7" s="2" t="s">
        <v>403</v>
      </c>
      <c r="C7" s="45">
        <v>3.77194566836624</v>
      </c>
      <c r="D7" s="45">
        <v>0.992473775574879</v>
      </c>
      <c r="E7" s="46">
        <v>4939.31192</v>
      </c>
    </row>
    <row r="8" ht="14.25" customHeight="1" spans="2:5">
      <c r="B8" s="2" t="s">
        <v>404</v>
      </c>
      <c r="C8" s="45">
        <v>10.2504605627223</v>
      </c>
      <c r="D8" s="45">
        <v>1.97711421522175</v>
      </c>
      <c r="E8" s="46">
        <v>5581.03542</v>
      </c>
    </row>
    <row r="9" ht="14.25" customHeight="1" spans="2:5">
      <c r="B9" s="2" t="s">
        <v>405</v>
      </c>
      <c r="C9" s="45">
        <v>11.2608024629126</v>
      </c>
      <c r="D9" s="45">
        <v>3.02232168192451</v>
      </c>
      <c r="E9" s="46">
        <v>6353.55522</v>
      </c>
    </row>
    <row r="10" ht="14.25" customHeight="1" spans="2:5">
      <c r="B10" s="2" t="s">
        <v>406</v>
      </c>
      <c r="C10" s="45">
        <v>-0.83018234683324</v>
      </c>
      <c r="D10" s="45">
        <v>2.58769902879811</v>
      </c>
      <c r="E10" s="46">
        <v>7131.27002</v>
      </c>
    </row>
    <row r="11" ht="14.25" customHeight="1" spans="2:5">
      <c r="B11" s="2" t="s">
        <v>407</v>
      </c>
      <c r="C11" s="45">
        <v>4.6</v>
      </c>
      <c r="D11" s="45">
        <v>2.78004875921162</v>
      </c>
      <c r="E11" s="46">
        <v>7883.82</v>
      </c>
    </row>
    <row r="12" ht="14.25" customHeight="1" spans="2:5">
      <c r="B12" s="4">
        <v>45689</v>
      </c>
      <c r="C12" s="45"/>
      <c r="D12" s="45">
        <v>6.7963039449876</v>
      </c>
      <c r="E12" s="46">
        <v>1424.3829</v>
      </c>
    </row>
    <row r="13" ht="14.25" customHeight="1" spans="2:5">
      <c r="B13" s="4" t="s">
        <v>93</v>
      </c>
      <c r="C13" s="45">
        <v>5.2506370578536</v>
      </c>
      <c r="D13" s="45">
        <v>6.30702399011722</v>
      </c>
      <c r="E13" s="46">
        <v>2074.557</v>
      </c>
    </row>
    <row r="14" ht="14.25" customHeight="1" spans="2:2">
      <c r="B14" s="2"/>
    </row>
    <row r="15" ht="14.25" customHeight="1" spans="7:13">
      <c r="G15" s="15"/>
      <c r="H15" s="15"/>
      <c r="I15" s="15"/>
      <c r="J15" s="15"/>
      <c r="K15" s="15"/>
      <c r="L15" s="15"/>
      <c r="M15" s="15"/>
    </row>
    <row r="16" ht="14.25" customHeight="1"/>
    <row r="17" ht="14.25" customHeight="1"/>
    <row r="18" ht="14.25" customHeight="1"/>
    <row r="19" ht="14.25" customHeight="1"/>
    <row r="20" ht="11.25" customHeight="1" spans="7:13">
      <c r="G20" s="10"/>
      <c r="H20" s="11" t="s">
        <v>421</v>
      </c>
      <c r="I20" s="11"/>
      <c r="J20" s="11"/>
      <c r="K20" s="11"/>
      <c r="L20" s="11"/>
      <c r="M20" s="11"/>
    </row>
    <row r="21" ht="14.25" customHeight="1" spans="3:16">
      <c r="C21" s="22" t="s">
        <v>409</v>
      </c>
      <c r="D21" s="22" t="s">
        <v>410</v>
      </c>
      <c r="G21" s="12"/>
      <c r="H21" s="13"/>
      <c r="I21" s="13"/>
      <c r="J21" s="13"/>
      <c r="K21" s="13"/>
      <c r="L21" s="13"/>
      <c r="M21" s="13"/>
      <c r="P21" s="1"/>
    </row>
    <row r="22" ht="14.25" customHeight="1" spans="2:5">
      <c r="B22" s="4">
        <v>45352</v>
      </c>
      <c r="C22" s="7">
        <v>-17.5</v>
      </c>
      <c r="D22" s="26">
        <v>250.60121</v>
      </c>
      <c r="E22" s="21"/>
    </row>
    <row r="23" ht="14.25" customHeight="1" spans="2:5">
      <c r="B23" s="2" t="s">
        <v>399</v>
      </c>
      <c r="C23" s="21">
        <v>-17.8</v>
      </c>
      <c r="D23" s="29">
        <v>338.24997</v>
      </c>
      <c r="E23" s="21"/>
    </row>
    <row r="24" ht="14.25" customHeight="1" spans="2:5">
      <c r="B24" s="2" t="s">
        <v>400</v>
      </c>
      <c r="C24" s="21">
        <v>-9.5</v>
      </c>
      <c r="D24" s="29">
        <v>471.96155</v>
      </c>
      <c r="E24" s="21"/>
    </row>
    <row r="25" ht="14.25" customHeight="1" spans="2:5">
      <c r="B25" s="2" t="s">
        <v>401</v>
      </c>
      <c r="C25" s="7">
        <v>-11.5</v>
      </c>
      <c r="D25" s="26">
        <v>604.09687</v>
      </c>
      <c r="E25" s="21"/>
    </row>
    <row r="26" ht="14.25" customHeight="1" spans="2:5">
      <c r="B26" s="2" t="s">
        <v>402</v>
      </c>
      <c r="C26" s="7">
        <v>-8.1</v>
      </c>
      <c r="D26" s="26">
        <v>715.10909</v>
      </c>
      <c r="E26" s="21"/>
    </row>
    <row r="27" ht="14.25" customHeight="1" spans="2:5">
      <c r="B27" s="2" t="s">
        <v>403</v>
      </c>
      <c r="C27" s="7">
        <v>-4.3</v>
      </c>
      <c r="D27" s="26">
        <v>849.89558</v>
      </c>
      <c r="E27" s="21"/>
    </row>
    <row r="28" ht="14.25" customHeight="1" spans="2:5">
      <c r="B28" s="2" t="s">
        <v>404</v>
      </c>
      <c r="C28" s="7">
        <v>-0.9</v>
      </c>
      <c r="D28" s="26">
        <v>987.03578</v>
      </c>
      <c r="E28" s="21"/>
    </row>
    <row r="29" ht="14.25" customHeight="1" spans="2:5">
      <c r="B29" s="2" t="s">
        <v>405</v>
      </c>
      <c r="C29" s="7">
        <v>1.9</v>
      </c>
      <c r="D29" s="26">
        <v>1127.58101</v>
      </c>
      <c r="E29" s="21"/>
    </row>
    <row r="30" ht="14.25" customHeight="1" spans="2:5">
      <c r="B30" s="2" t="s">
        <v>406</v>
      </c>
      <c r="C30" s="7">
        <v>3.1</v>
      </c>
      <c r="D30" s="26">
        <v>1316.08641</v>
      </c>
      <c r="E30" s="20"/>
    </row>
    <row r="31" s="1" customFormat="1" ht="15" customHeight="1" spans="2:5">
      <c r="B31" s="2" t="s">
        <v>407</v>
      </c>
      <c r="C31" s="7">
        <v>2.4</v>
      </c>
      <c r="D31" s="26">
        <v>1513.96447</v>
      </c>
      <c r="E31" s="7"/>
    </row>
    <row r="32" ht="14.25" customHeight="1" spans="2:13">
      <c r="B32" s="4">
        <v>45689</v>
      </c>
      <c r="C32" s="7">
        <v>29.4</v>
      </c>
      <c r="D32" s="26">
        <v>187.16113</v>
      </c>
      <c r="E32" s="7"/>
      <c r="G32" s="15"/>
      <c r="H32" s="15"/>
      <c r="I32" s="15"/>
      <c r="J32" s="15"/>
      <c r="K32" s="15"/>
      <c r="L32" s="15"/>
      <c r="M32" s="15"/>
    </row>
    <row r="33" ht="14.25" customHeight="1" spans="2:5">
      <c r="B33" s="4" t="s">
        <v>93</v>
      </c>
      <c r="C33" s="7">
        <v>16.8</v>
      </c>
      <c r="D33" s="26">
        <v>297.69809</v>
      </c>
      <c r="E33" s="21"/>
    </row>
    <row r="34" ht="14.25" customHeight="1" spans="2:2">
      <c r="B34" s="2"/>
    </row>
    <row r="35" ht="14.25" customHeight="1"/>
  </sheetData>
  <mergeCells count="6">
    <mergeCell ref="G15:M15"/>
    <mergeCell ref="G32:M32"/>
    <mergeCell ref="G3:G4"/>
    <mergeCell ref="G20:G21"/>
    <mergeCell ref="H20:M21"/>
    <mergeCell ref="H3:M4"/>
  </mergeCell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4"/>
  <sheetViews>
    <sheetView workbookViewId="0">
      <selection activeCell="E32" sqref="E32"/>
    </sheetView>
  </sheetViews>
  <sheetFormatPr defaultColWidth="10" defaultRowHeight="15.75"/>
  <cols>
    <col min="1" max="1" width="9" style="28"/>
    <col min="5" max="5" width="45.75" customWidth="1"/>
    <col min="6" max="6" width="1.75" customWidth="1"/>
    <col min="12" max="12" width="8.5" customWidth="1"/>
    <col min="13" max="13" width="19.375" customWidth="1"/>
  </cols>
  <sheetData>
    <row r="1" ht="11.25" customHeight="1" spans="3:12">
      <c r="C1" s="2" t="s">
        <v>384</v>
      </c>
      <c r="D1" s="20" t="s">
        <v>385</v>
      </c>
      <c r="F1" s="10"/>
      <c r="G1" s="11" t="s">
        <v>422</v>
      </c>
      <c r="H1" s="11"/>
      <c r="I1" s="11"/>
      <c r="J1" s="11"/>
      <c r="K1" s="11"/>
      <c r="L1" s="11"/>
    </row>
    <row r="2" ht="14.1" customHeight="1" spans="1:12">
      <c r="A2" s="2"/>
      <c r="B2" s="2" t="s">
        <v>387</v>
      </c>
      <c r="C2" s="7">
        <v>3.78929059510497</v>
      </c>
      <c r="D2" s="26">
        <v>25062</v>
      </c>
      <c r="F2" s="12"/>
      <c r="G2" s="13"/>
      <c r="H2" s="13"/>
      <c r="I2" s="13"/>
      <c r="J2" s="13"/>
      <c r="K2" s="13"/>
      <c r="L2" s="13"/>
    </row>
    <row r="3" spans="1:4">
      <c r="A3" s="2"/>
      <c r="B3" s="2" t="s">
        <v>388</v>
      </c>
      <c r="C3" s="7">
        <v>5</v>
      </c>
      <c r="D3" s="26">
        <v>45489</v>
      </c>
    </row>
    <row r="4" spans="1:19">
      <c r="A4" s="2"/>
      <c r="B4" s="2" t="s">
        <v>389</v>
      </c>
      <c r="C4" s="7">
        <v>5</v>
      </c>
      <c r="D4" s="26">
        <v>65408</v>
      </c>
      <c r="M4" s="2"/>
      <c r="N4" s="14"/>
      <c r="O4" s="30"/>
      <c r="P4" s="7"/>
      <c r="Q4" s="7"/>
      <c r="R4" s="7"/>
      <c r="S4" s="7"/>
    </row>
    <row r="5" spans="1:19">
      <c r="A5" s="2"/>
      <c r="B5" s="2" t="s">
        <v>390</v>
      </c>
      <c r="C5" s="7">
        <v>4.6</v>
      </c>
      <c r="D5" s="20">
        <v>80587</v>
      </c>
      <c r="M5" s="2"/>
      <c r="N5" s="14"/>
      <c r="O5" s="30"/>
      <c r="P5" s="7"/>
      <c r="Q5" s="7"/>
      <c r="R5" s="7"/>
      <c r="S5" s="7"/>
    </row>
    <row r="6" spans="1:19">
      <c r="A6" s="2"/>
      <c r="B6" s="2" t="s">
        <v>391</v>
      </c>
      <c r="C6" s="20">
        <v>4.5</v>
      </c>
      <c r="D6" s="20">
        <v>26188</v>
      </c>
      <c r="N6" s="14"/>
      <c r="O6" s="31"/>
      <c r="P6" s="7"/>
      <c r="Q6" s="7"/>
      <c r="R6" s="7"/>
      <c r="S6" s="7"/>
    </row>
    <row r="7" spans="1:19">
      <c r="A7" s="2"/>
      <c r="B7" s="2" t="s">
        <v>388</v>
      </c>
      <c r="C7" s="7">
        <v>3.3</v>
      </c>
      <c r="D7" s="26">
        <v>47004</v>
      </c>
      <c r="N7" s="14"/>
      <c r="O7" s="31"/>
      <c r="P7" s="7"/>
      <c r="Q7" s="33"/>
      <c r="R7" s="7"/>
      <c r="S7" s="33"/>
    </row>
    <row r="8" spans="1:19">
      <c r="A8" s="2"/>
      <c r="B8" s="2" t="s">
        <v>389</v>
      </c>
      <c r="C8" s="20">
        <v>3.3</v>
      </c>
      <c r="D8" s="20">
        <v>67596</v>
      </c>
      <c r="M8" s="2"/>
      <c r="N8" s="14"/>
      <c r="O8" s="32"/>
      <c r="P8" s="7"/>
      <c r="Q8" s="7"/>
      <c r="R8" s="7"/>
      <c r="S8" s="7"/>
    </row>
    <row r="9" spans="1:19">
      <c r="A9" s="2"/>
      <c r="B9" s="2" t="s">
        <v>390</v>
      </c>
      <c r="C9" s="7">
        <v>3.4</v>
      </c>
      <c r="D9" s="20">
        <v>83356</v>
      </c>
      <c r="M9" s="2"/>
      <c r="N9" s="14"/>
      <c r="O9" s="31"/>
      <c r="P9" s="7"/>
      <c r="Q9" s="33"/>
      <c r="R9" s="7"/>
      <c r="S9" s="33"/>
    </row>
    <row r="10" spans="1:19">
      <c r="A10" s="6"/>
      <c r="B10" s="2" t="s">
        <v>392</v>
      </c>
      <c r="C10" s="21">
        <v>4.1</v>
      </c>
      <c r="D10" s="29">
        <v>27272</v>
      </c>
      <c r="N10" s="14"/>
      <c r="O10" s="31"/>
      <c r="P10" s="7"/>
      <c r="Q10" s="7"/>
      <c r="R10" s="7"/>
      <c r="S10" s="33"/>
    </row>
    <row r="11" spans="1:19">
      <c r="A11" s="2"/>
      <c r="B11" s="2"/>
      <c r="N11" s="14"/>
      <c r="O11" s="31"/>
      <c r="P11" s="7"/>
      <c r="Q11" s="7"/>
      <c r="R11" s="7"/>
      <c r="S11" s="7"/>
    </row>
    <row r="12" spans="1:19">
      <c r="A12" s="2"/>
      <c r="B12" s="2"/>
      <c r="N12" s="14"/>
      <c r="O12" s="7"/>
      <c r="P12" s="7"/>
      <c r="Q12" s="7"/>
      <c r="R12" s="7"/>
      <c r="S12" s="7"/>
    </row>
    <row r="13" spans="1:19">
      <c r="A13" s="2"/>
      <c r="B13" s="2"/>
      <c r="F13" s="15"/>
      <c r="G13" s="15"/>
      <c r="H13" s="15"/>
      <c r="I13" s="15"/>
      <c r="J13" s="15"/>
      <c r="K13" s="15"/>
      <c r="L13" s="15"/>
      <c r="M13" s="2"/>
      <c r="N13" s="14"/>
      <c r="O13" s="14"/>
      <c r="P13" s="7"/>
      <c r="Q13" s="7"/>
      <c r="R13" s="7"/>
      <c r="S13" s="7"/>
    </row>
    <row r="14" spans="1:27">
      <c r="A14" s="2"/>
      <c r="B14" s="2"/>
      <c r="N14" s="14"/>
      <c r="P14" s="7"/>
      <c r="Q14" s="7"/>
      <c r="X14" s="40"/>
      <c r="Y14" s="36"/>
      <c r="Z14" s="36"/>
      <c r="AA14" s="36"/>
    </row>
    <row r="15" spans="14:27">
      <c r="N15" s="14"/>
      <c r="X15" s="38"/>
      <c r="Y15" s="38"/>
      <c r="Z15" s="38"/>
      <c r="AA15" s="37"/>
    </row>
    <row r="16" spans="14:27">
      <c r="N16" s="14"/>
      <c r="X16" s="40"/>
      <c r="Y16" s="38"/>
      <c r="Z16" s="38"/>
      <c r="AA16" s="37"/>
    </row>
    <row r="17" spans="14:27">
      <c r="N17" s="2"/>
      <c r="O17" s="7"/>
      <c r="P17" s="7"/>
      <c r="Q17" s="7"/>
      <c r="R17" s="7"/>
      <c r="S17" s="7"/>
      <c r="T17" s="34"/>
      <c r="X17" s="38"/>
      <c r="Y17" s="38"/>
      <c r="Z17" s="38"/>
      <c r="AA17" s="37"/>
    </row>
    <row r="18" spans="14:27">
      <c r="N18" s="2"/>
      <c r="O18" s="7"/>
      <c r="P18" s="14"/>
      <c r="Q18" s="7"/>
      <c r="R18" s="7"/>
      <c r="S18" s="7"/>
      <c r="T18" s="34"/>
      <c r="X18" s="38"/>
      <c r="Y18" s="38"/>
      <c r="Z18" s="38"/>
      <c r="AA18" s="38"/>
    </row>
    <row r="19" spans="16:27">
      <c r="P19" s="14"/>
      <c r="Q19" s="35"/>
      <c r="R19" s="7"/>
      <c r="S19" s="7"/>
      <c r="T19" s="34"/>
      <c r="X19" s="38"/>
      <c r="Y19" s="38"/>
      <c r="Z19" s="38"/>
      <c r="AA19" s="38"/>
    </row>
    <row r="20" spans="3:20">
      <c r="C20" s="2" t="s">
        <v>384</v>
      </c>
      <c r="D20" s="20" t="s">
        <v>385</v>
      </c>
      <c r="P20" s="14"/>
      <c r="Q20" s="14"/>
      <c r="R20" s="7"/>
      <c r="S20" s="7"/>
      <c r="T20" s="36"/>
    </row>
    <row r="21" ht="11.25" customHeight="1" spans="1:20">
      <c r="A21" s="2"/>
      <c r="B21" s="2" t="s">
        <v>387</v>
      </c>
      <c r="C21" s="7">
        <v>5.23722750894242</v>
      </c>
      <c r="D21" s="26">
        <v>15593</v>
      </c>
      <c r="F21" s="10"/>
      <c r="G21" s="11" t="s">
        <v>423</v>
      </c>
      <c r="H21" s="11"/>
      <c r="I21" s="11"/>
      <c r="J21" s="11"/>
      <c r="K21" s="11"/>
      <c r="L21" s="11"/>
      <c r="P21" s="14"/>
      <c r="Q21" s="14"/>
      <c r="R21" s="7"/>
      <c r="S21" s="7"/>
      <c r="T21" s="37"/>
    </row>
    <row r="22" ht="14.25" customHeight="1" spans="1:20">
      <c r="A22" s="2"/>
      <c r="B22" s="2" t="s">
        <v>388</v>
      </c>
      <c r="C22" s="7">
        <v>7</v>
      </c>
      <c r="D22" s="26">
        <v>25754</v>
      </c>
      <c r="F22" s="12"/>
      <c r="G22" s="13"/>
      <c r="H22" s="13"/>
      <c r="I22" s="13"/>
      <c r="J22" s="13"/>
      <c r="K22" s="13"/>
      <c r="L22" s="13"/>
      <c r="N22" s="2"/>
      <c r="O22" s="7"/>
      <c r="P22" s="7"/>
      <c r="Q22" s="7"/>
      <c r="R22" s="7"/>
      <c r="S22" s="7"/>
      <c r="T22" s="37"/>
    </row>
    <row r="23" spans="1:20">
      <c r="A23" s="2"/>
      <c r="B23" s="2" t="s">
        <v>389</v>
      </c>
      <c r="C23" s="7">
        <v>7.1</v>
      </c>
      <c r="D23" s="26">
        <v>37176</v>
      </c>
      <c r="N23" s="2"/>
      <c r="O23" s="14"/>
      <c r="P23" s="14"/>
      <c r="Q23" s="7"/>
      <c r="R23" s="7"/>
      <c r="S23" s="7"/>
      <c r="T23" s="37"/>
    </row>
    <row r="24" spans="1:27">
      <c r="A24" s="2"/>
      <c r="B24" s="2" t="s">
        <v>390</v>
      </c>
      <c r="C24" s="7">
        <v>6.6</v>
      </c>
      <c r="D24" s="20">
        <v>48180</v>
      </c>
      <c r="P24" s="14"/>
      <c r="Q24" s="14"/>
      <c r="R24" s="7"/>
      <c r="S24" s="7"/>
      <c r="T24" s="38"/>
      <c r="X24" s="41"/>
      <c r="Y24" s="41"/>
      <c r="Z24" s="41"/>
      <c r="AA24" s="34"/>
    </row>
    <row r="25" spans="1:27">
      <c r="A25" s="2"/>
      <c r="B25" s="2" t="s">
        <v>391</v>
      </c>
      <c r="C25" s="7">
        <v>7</v>
      </c>
      <c r="D25" s="20">
        <v>16689</v>
      </c>
      <c r="Q25" s="14"/>
      <c r="R25" s="7"/>
      <c r="S25" s="7"/>
      <c r="T25" s="38"/>
      <c r="X25" s="42"/>
      <c r="Y25" s="41"/>
      <c r="Z25" s="41"/>
      <c r="AA25" s="34"/>
    </row>
    <row r="26" spans="1:27">
      <c r="A26" s="2"/>
      <c r="B26" s="2" t="s">
        <v>388</v>
      </c>
      <c r="C26" s="7">
        <v>5.50594082472626</v>
      </c>
      <c r="D26" s="26">
        <v>27172</v>
      </c>
      <c r="T26" s="39"/>
      <c r="X26" s="41"/>
      <c r="Y26" s="41"/>
      <c r="Z26" s="41"/>
      <c r="AA26" s="34"/>
    </row>
    <row r="27" spans="1:27">
      <c r="A27" s="2"/>
      <c r="B27" s="2" t="s">
        <v>389</v>
      </c>
      <c r="C27" s="20">
        <v>5.4</v>
      </c>
      <c r="D27" s="20">
        <v>39202</v>
      </c>
      <c r="X27" s="42"/>
      <c r="Y27" s="41"/>
      <c r="Z27" s="41"/>
      <c r="AA27" s="34"/>
    </row>
    <row r="28" spans="1:27">
      <c r="A28" s="2"/>
      <c r="B28" s="2" t="s">
        <v>390</v>
      </c>
      <c r="C28" s="7">
        <v>5.4</v>
      </c>
      <c r="D28" s="20">
        <v>50805</v>
      </c>
      <c r="X28" s="41"/>
      <c r="Y28" s="41"/>
      <c r="Z28" s="41"/>
      <c r="AA28" s="34"/>
    </row>
    <row r="29" spans="1:27">
      <c r="A29" s="6"/>
      <c r="B29" s="2" t="s">
        <v>392</v>
      </c>
      <c r="C29" s="21">
        <v>4.9</v>
      </c>
      <c r="D29" s="29">
        <v>17513</v>
      </c>
      <c r="X29" s="42"/>
      <c r="Y29" s="41"/>
      <c r="Z29" s="41"/>
      <c r="AA29" s="34"/>
    </row>
    <row r="30" spans="1:27">
      <c r="A30" s="2"/>
      <c r="B30" s="2"/>
      <c r="X30" s="41"/>
      <c r="Y30" s="41"/>
      <c r="Z30" s="41"/>
      <c r="AA30" s="34"/>
    </row>
    <row r="31" spans="1:27">
      <c r="A31" s="2"/>
      <c r="B31" s="2"/>
      <c r="X31" s="42"/>
      <c r="Y31" s="41"/>
      <c r="Z31" s="41"/>
      <c r="AA31" s="34"/>
    </row>
    <row r="32" spans="1:27">
      <c r="A32" s="2"/>
      <c r="B32" s="2"/>
      <c r="X32" s="41"/>
      <c r="Y32" s="43"/>
      <c r="Z32" s="44"/>
      <c r="AA32" s="44"/>
    </row>
    <row r="33" spans="1:27">
      <c r="A33" s="2"/>
      <c r="B33" s="2"/>
      <c r="F33" s="15"/>
      <c r="G33" s="15"/>
      <c r="H33" s="15"/>
      <c r="I33" s="15"/>
      <c r="J33" s="15"/>
      <c r="K33" s="15"/>
      <c r="L33" s="15"/>
      <c r="X33" s="42"/>
      <c r="Y33" s="41"/>
      <c r="Z33" s="41"/>
      <c r="AA33" s="34"/>
    </row>
    <row r="34" spans="24:27">
      <c r="X34" s="41"/>
      <c r="Y34" s="41"/>
      <c r="Z34" s="41"/>
      <c r="AA34" s="34"/>
    </row>
  </sheetData>
  <mergeCells count="6">
    <mergeCell ref="F13:L13"/>
    <mergeCell ref="F33:L33"/>
    <mergeCell ref="F1:F2"/>
    <mergeCell ref="F21:F22"/>
    <mergeCell ref="G21:L22"/>
    <mergeCell ref="G1:L2"/>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34"/>
  <sheetViews>
    <sheetView workbookViewId="0">
      <selection activeCell="D15" sqref="D15"/>
    </sheetView>
  </sheetViews>
  <sheetFormatPr defaultColWidth="10" defaultRowHeight="15.75"/>
  <cols>
    <col min="2" max="2" width="11.625" customWidth="1"/>
    <col min="5" max="5" width="54" customWidth="1"/>
    <col min="6" max="6" width="1.75" customWidth="1"/>
  </cols>
  <sheetData>
    <row r="2" spans="3:4">
      <c r="C2" t="s">
        <v>384</v>
      </c>
      <c r="D2" t="s">
        <v>424</v>
      </c>
    </row>
    <row r="3" ht="11.25" customHeight="1" spans="2:12">
      <c r="B3" s="4">
        <v>45352</v>
      </c>
      <c r="C3" s="7">
        <v>7.55</v>
      </c>
      <c r="D3" s="27">
        <v>7.9225</v>
      </c>
      <c r="F3" s="10"/>
      <c r="G3" s="11" t="s">
        <v>425</v>
      </c>
      <c r="H3" s="11"/>
      <c r="I3" s="11"/>
      <c r="J3" s="11"/>
      <c r="K3" s="11"/>
      <c r="L3" s="11"/>
    </row>
    <row r="4" ht="14.25" customHeight="1" spans="2:12">
      <c r="B4" s="4" t="s">
        <v>399</v>
      </c>
      <c r="C4" s="7">
        <v>4.01</v>
      </c>
      <c r="D4" s="27">
        <v>7.7057</v>
      </c>
      <c r="F4" s="12"/>
      <c r="G4" s="13"/>
      <c r="H4" s="13"/>
      <c r="I4" s="13"/>
      <c r="J4" s="13"/>
      <c r="K4" s="13"/>
      <c r="L4" s="13"/>
    </row>
    <row r="5" spans="2:4">
      <c r="B5" s="4" t="s">
        <v>400</v>
      </c>
      <c r="C5" s="7">
        <v>3.8</v>
      </c>
      <c r="D5" s="27">
        <v>7.6695</v>
      </c>
    </row>
    <row r="6" spans="2:4">
      <c r="B6" s="4" t="s">
        <v>401</v>
      </c>
      <c r="C6" s="7">
        <v>0.66</v>
      </c>
      <c r="D6" s="27">
        <v>7.6701</v>
      </c>
    </row>
    <row r="7" spans="2:4">
      <c r="B7" s="4" t="s">
        <v>402</v>
      </c>
      <c r="C7" s="7">
        <v>-0.56</v>
      </c>
      <c r="D7" s="27">
        <v>7.5995</v>
      </c>
    </row>
    <row r="8" spans="2:4">
      <c r="B8" s="4" t="s">
        <v>403</v>
      </c>
      <c r="C8" s="7">
        <v>1.28</v>
      </c>
      <c r="D8" s="27">
        <v>7.7401</v>
      </c>
    </row>
    <row r="9" spans="2:4">
      <c r="B9" s="4" t="s">
        <v>404</v>
      </c>
      <c r="C9" s="7">
        <v>1.8</v>
      </c>
      <c r="D9" s="27">
        <v>7.8343</v>
      </c>
    </row>
    <row r="10" spans="2:4">
      <c r="B10" s="4" t="s">
        <v>405</v>
      </c>
      <c r="C10" s="7">
        <v>1.68</v>
      </c>
      <c r="D10" s="27">
        <v>7.8064</v>
      </c>
    </row>
    <row r="11" spans="2:4">
      <c r="B11" s="4" t="s">
        <v>406</v>
      </c>
      <c r="C11" s="7">
        <v>2.13</v>
      </c>
      <c r="D11" s="27">
        <v>7.9048</v>
      </c>
    </row>
    <row r="12" spans="2:4">
      <c r="B12" s="4" t="s">
        <v>407</v>
      </c>
      <c r="C12" s="7">
        <v>2.49</v>
      </c>
      <c r="D12" s="27">
        <v>7.9521</v>
      </c>
    </row>
    <row r="13" spans="2:4">
      <c r="B13" s="4">
        <v>45658</v>
      </c>
      <c r="C13" s="7">
        <v>1.42</v>
      </c>
      <c r="D13" s="27">
        <v>7.9479</v>
      </c>
    </row>
    <row r="14" spans="2:4">
      <c r="B14" s="4" t="s">
        <v>426</v>
      </c>
      <c r="C14" s="7">
        <v>1.1</v>
      </c>
      <c r="D14" s="27">
        <v>7.9683</v>
      </c>
    </row>
    <row r="15" spans="2:12">
      <c r="B15" s="4" t="s">
        <v>93</v>
      </c>
      <c r="C15" s="7">
        <v>2.45</v>
      </c>
      <c r="D15" s="27">
        <v>8.1169</v>
      </c>
      <c r="F15" s="15"/>
      <c r="G15" s="15"/>
      <c r="H15" s="15"/>
      <c r="I15" s="15"/>
      <c r="J15" s="15"/>
      <c r="K15" s="15"/>
      <c r="L15" s="15"/>
    </row>
    <row r="16" spans="2:4">
      <c r="B16" s="4"/>
      <c r="C16" s="14"/>
      <c r="D16" s="14"/>
    </row>
    <row r="17" spans="2:19">
      <c r="B17" s="2"/>
      <c r="C17" s="14"/>
      <c r="D17" s="14"/>
      <c r="S17" s="2" t="s">
        <v>427</v>
      </c>
    </row>
    <row r="19" spans="3:4">
      <c r="C19" t="s">
        <v>384</v>
      </c>
      <c r="D19" t="s">
        <v>424</v>
      </c>
    </row>
    <row r="20" ht="11.25" customHeight="1" spans="2:12">
      <c r="B20" s="4">
        <v>45352</v>
      </c>
      <c r="C20" s="7">
        <v>8.33</v>
      </c>
      <c r="D20" s="27">
        <v>7.0435</v>
      </c>
      <c r="F20" s="10"/>
      <c r="G20" s="11" t="s">
        <v>428</v>
      </c>
      <c r="H20" s="11"/>
      <c r="I20" s="11"/>
      <c r="J20" s="11"/>
      <c r="K20" s="11"/>
      <c r="L20" s="11"/>
    </row>
    <row r="21" ht="14.25" customHeight="1" spans="2:12">
      <c r="B21" s="4" t="s">
        <v>399</v>
      </c>
      <c r="C21" s="7">
        <v>8.6</v>
      </c>
      <c r="D21" s="27">
        <v>7.0673</v>
      </c>
      <c r="F21" s="12"/>
      <c r="G21" s="13"/>
      <c r="H21" s="13"/>
      <c r="I21" s="13"/>
      <c r="J21" s="13"/>
      <c r="K21" s="13"/>
      <c r="L21" s="13"/>
    </row>
    <row r="22" spans="2:4">
      <c r="B22" s="4" t="s">
        <v>400</v>
      </c>
      <c r="C22" s="7">
        <v>8.63</v>
      </c>
      <c r="D22" s="27">
        <v>7.081</v>
      </c>
    </row>
    <row r="23" spans="2:4">
      <c r="B23" s="4" t="s">
        <v>401</v>
      </c>
      <c r="C23" s="7">
        <v>6.62</v>
      </c>
      <c r="D23" s="27">
        <v>7.1159</v>
      </c>
    </row>
    <row r="24" spans="2:4">
      <c r="B24" s="4" t="s">
        <v>402</v>
      </c>
      <c r="C24" s="7">
        <v>6.98</v>
      </c>
      <c r="D24" s="27">
        <v>7.1226</v>
      </c>
    </row>
    <row r="25" spans="2:4">
      <c r="B25" s="4" t="s">
        <v>403</v>
      </c>
      <c r="C25" s="7">
        <v>7</v>
      </c>
      <c r="D25" s="27">
        <v>7.1611</v>
      </c>
    </row>
    <row r="26" spans="2:4">
      <c r="B26" s="4" t="s">
        <v>404</v>
      </c>
      <c r="C26" s="7">
        <v>7.07</v>
      </c>
      <c r="D26" s="27">
        <v>7.2236</v>
      </c>
    </row>
    <row r="27" spans="2:4">
      <c r="B27" s="4" t="s">
        <v>405</v>
      </c>
      <c r="C27" s="7">
        <v>7.27</v>
      </c>
      <c r="D27" s="27">
        <v>7.2464</v>
      </c>
    </row>
    <row r="28" spans="2:4">
      <c r="B28" s="4" t="s">
        <v>406</v>
      </c>
      <c r="C28" s="7">
        <v>6.75</v>
      </c>
      <c r="D28" s="27">
        <v>7.2563</v>
      </c>
    </row>
    <row r="29" spans="2:4">
      <c r="B29" s="4" t="s">
        <v>407</v>
      </c>
      <c r="C29" s="7">
        <v>6.34</v>
      </c>
      <c r="D29" s="27">
        <v>7.2994</v>
      </c>
    </row>
    <row r="30" spans="2:4">
      <c r="B30" s="4">
        <v>45658</v>
      </c>
      <c r="C30" s="7">
        <v>6.89</v>
      </c>
      <c r="D30" s="27">
        <v>7.431</v>
      </c>
    </row>
    <row r="31" spans="2:12">
      <c r="B31" s="4" t="s">
        <v>426</v>
      </c>
      <c r="C31" s="7">
        <v>7</v>
      </c>
      <c r="D31" s="27">
        <v>7.4438</v>
      </c>
      <c r="F31" s="16"/>
      <c r="G31" s="16"/>
      <c r="H31" s="16"/>
      <c r="I31" s="16"/>
      <c r="J31" s="16"/>
      <c r="K31" s="16"/>
      <c r="L31" s="16"/>
    </row>
    <row r="32" spans="2:12">
      <c r="B32" s="4" t="s">
        <v>93</v>
      </c>
      <c r="C32" s="7">
        <v>6.98</v>
      </c>
      <c r="D32" s="27">
        <v>7.5353</v>
      </c>
      <c r="F32" s="15"/>
      <c r="G32" s="15"/>
      <c r="H32" s="15"/>
      <c r="I32" s="15"/>
      <c r="J32" s="15"/>
      <c r="K32" s="15"/>
      <c r="L32" s="15"/>
    </row>
    <row r="33" spans="2:4">
      <c r="B33" s="4"/>
      <c r="C33" s="14"/>
      <c r="D33" s="14"/>
    </row>
    <row r="34" spans="2:4">
      <c r="B34" s="2"/>
      <c r="C34" s="14"/>
      <c r="D34" s="14"/>
    </row>
  </sheetData>
  <mergeCells count="6">
    <mergeCell ref="F15:L15"/>
    <mergeCell ref="F32:L32"/>
    <mergeCell ref="F3:F4"/>
    <mergeCell ref="F20:F21"/>
    <mergeCell ref="G20:L21"/>
    <mergeCell ref="G3:L4"/>
  </mergeCell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8"/>
  <sheetViews>
    <sheetView workbookViewId="0">
      <selection activeCell="D36" sqref="D36"/>
    </sheetView>
  </sheetViews>
  <sheetFormatPr defaultColWidth="10" defaultRowHeight="15.75"/>
  <cols>
    <col min="1" max="1" width="11.625" customWidth="1"/>
    <col min="5" max="5" width="54.625" customWidth="1"/>
    <col min="6" max="6" width="1.75" customWidth="1"/>
  </cols>
  <sheetData>
    <row r="2" spans="2:4">
      <c r="B2" s="22" t="s">
        <v>408</v>
      </c>
      <c r="C2" s="22" t="s">
        <v>409</v>
      </c>
      <c r="D2" s="24" t="s">
        <v>410</v>
      </c>
    </row>
    <row r="3" ht="11.25" customHeight="1" spans="1:12">
      <c r="A3" s="4">
        <v>45352</v>
      </c>
      <c r="B3" s="25">
        <v>-10.495</v>
      </c>
      <c r="C3" s="25">
        <v>5.736</v>
      </c>
      <c r="D3" s="26">
        <v>1887.10013441</v>
      </c>
      <c r="F3" s="10"/>
      <c r="G3" s="11" t="s">
        <v>429</v>
      </c>
      <c r="H3" s="11"/>
      <c r="I3" s="11"/>
      <c r="J3" s="11"/>
      <c r="K3" s="11"/>
      <c r="L3" s="11"/>
    </row>
    <row r="4" ht="14.25" customHeight="1" spans="1:12">
      <c r="A4" s="4" t="s">
        <v>399</v>
      </c>
      <c r="B4" s="25">
        <v>1.181</v>
      </c>
      <c r="C4" s="25">
        <v>4.474</v>
      </c>
      <c r="D4" s="26">
        <v>2573.06671538</v>
      </c>
      <c r="F4" s="12"/>
      <c r="G4" s="13"/>
      <c r="H4" s="13"/>
      <c r="I4" s="13"/>
      <c r="J4" s="13"/>
      <c r="K4" s="13"/>
      <c r="L4" s="13"/>
    </row>
    <row r="5" spans="1:4">
      <c r="A5" s="4" t="s">
        <v>400</v>
      </c>
      <c r="B5" s="25">
        <v>11.941</v>
      </c>
      <c r="C5" s="25">
        <v>5.985</v>
      </c>
      <c r="D5" s="26">
        <v>3294.52604091</v>
      </c>
    </row>
    <row r="6" spans="1:4">
      <c r="A6" s="4" t="s">
        <v>401</v>
      </c>
      <c r="B6" s="25">
        <v>2.909</v>
      </c>
      <c r="C6" s="25">
        <v>5.374</v>
      </c>
      <c r="D6" s="26">
        <v>4063.17249994</v>
      </c>
    </row>
    <row r="7" spans="1:4">
      <c r="A7" s="4" t="s">
        <v>402</v>
      </c>
      <c r="B7" s="25">
        <v>6.93</v>
      </c>
      <c r="C7" s="25">
        <v>5.555</v>
      </c>
      <c r="D7" s="26">
        <v>4795.9227409</v>
      </c>
    </row>
    <row r="8" spans="1:4">
      <c r="A8" s="4" t="s">
        <v>403</v>
      </c>
      <c r="B8" s="25">
        <v>7.177</v>
      </c>
      <c r="C8" s="25">
        <v>5.79</v>
      </c>
      <c r="D8" s="26">
        <v>5557.43805332</v>
      </c>
    </row>
    <row r="9" spans="1:4">
      <c r="A9" s="4" t="s">
        <v>404</v>
      </c>
      <c r="B9" s="25">
        <v>1.913</v>
      </c>
      <c r="C9" s="25">
        <v>5.318</v>
      </c>
      <c r="D9" s="26">
        <v>6291.94123097</v>
      </c>
    </row>
    <row r="10" spans="1:4">
      <c r="A10" s="4" t="s">
        <v>405</v>
      </c>
      <c r="B10" s="25">
        <v>6.118</v>
      </c>
      <c r="C10" s="25">
        <v>5.39</v>
      </c>
      <c r="D10" s="26">
        <v>7029.76414552</v>
      </c>
    </row>
    <row r="11" spans="1:4">
      <c r="A11" s="4" t="s">
        <v>406</v>
      </c>
      <c r="B11" s="25">
        <v>10.364</v>
      </c>
      <c r="C11" s="25">
        <v>5.995</v>
      </c>
      <c r="D11" s="26">
        <v>7778.26152371</v>
      </c>
    </row>
    <row r="12" spans="1:4">
      <c r="A12" s="4" t="s">
        <v>407</v>
      </c>
      <c r="B12" s="25">
        <v>11.598</v>
      </c>
      <c r="C12" s="25">
        <v>6.44</v>
      </c>
      <c r="D12" s="26">
        <v>8549.39567979</v>
      </c>
    </row>
    <row r="13" spans="1:4">
      <c r="A13" s="4">
        <v>45689</v>
      </c>
      <c r="B13" s="25">
        <v>-2.65</v>
      </c>
      <c r="C13" s="25">
        <v>7.817</v>
      </c>
      <c r="D13" s="26">
        <v>1357.19905057</v>
      </c>
    </row>
    <row r="14" spans="1:12">
      <c r="A14" s="4" t="s">
        <v>93</v>
      </c>
      <c r="B14" s="25">
        <v>16.773</v>
      </c>
      <c r="C14" s="25">
        <v>10.815</v>
      </c>
      <c r="D14" s="26">
        <v>2103.40660525</v>
      </c>
      <c r="E14" s="26"/>
      <c r="G14" s="1"/>
      <c r="H14" s="1"/>
      <c r="I14" s="1"/>
      <c r="J14" s="1"/>
      <c r="K14" s="1"/>
      <c r="L14" s="1"/>
    </row>
    <row r="15" spans="1:12">
      <c r="A15" s="2"/>
      <c r="B15" s="25"/>
      <c r="C15" s="25"/>
      <c r="D15" s="25"/>
      <c r="F15" s="15"/>
      <c r="G15" s="15"/>
      <c r="H15" s="15"/>
      <c r="I15" s="15"/>
      <c r="J15" s="15"/>
      <c r="K15" s="15"/>
      <c r="L15" s="15"/>
    </row>
    <row r="16" spans="1:1">
      <c r="A16" s="4"/>
    </row>
    <row r="24" spans="2:4">
      <c r="B24" s="22" t="s">
        <v>408</v>
      </c>
      <c r="C24" s="22" t="s">
        <v>409</v>
      </c>
      <c r="D24" s="24" t="s">
        <v>410</v>
      </c>
    </row>
    <row r="25" spans="1:4">
      <c r="A25" s="4">
        <v>45352</v>
      </c>
      <c r="B25" s="25">
        <v>-19.782</v>
      </c>
      <c r="C25" s="25">
        <v>1.985</v>
      </c>
      <c r="D25" s="26">
        <v>1225.89167613</v>
      </c>
    </row>
    <row r="26" ht="11.25" customHeight="1" spans="1:12">
      <c r="A26" s="4" t="s">
        <v>399</v>
      </c>
      <c r="B26" s="25">
        <v>-2.347</v>
      </c>
      <c r="C26" s="25">
        <v>0.782</v>
      </c>
      <c r="D26" s="26">
        <v>1673.80995759</v>
      </c>
      <c r="F26" s="10"/>
      <c r="G26" s="11" t="s">
        <v>430</v>
      </c>
      <c r="H26" s="11"/>
      <c r="I26" s="11"/>
      <c r="J26" s="11"/>
      <c r="K26" s="11"/>
      <c r="L26" s="11"/>
    </row>
    <row r="27" ht="14.25" customHeight="1" spans="1:12">
      <c r="A27" s="4" t="s">
        <v>400</v>
      </c>
      <c r="B27" s="25">
        <v>20.643</v>
      </c>
      <c r="C27" s="25">
        <v>4.755</v>
      </c>
      <c r="D27" s="26">
        <v>2175.70624576</v>
      </c>
      <c r="F27" s="12"/>
      <c r="G27" s="13"/>
      <c r="H27" s="13"/>
      <c r="I27" s="13"/>
      <c r="J27" s="13"/>
      <c r="K27" s="13"/>
      <c r="L27" s="13"/>
    </row>
    <row r="28" spans="1:4">
      <c r="A28" s="4" t="s">
        <v>401</v>
      </c>
      <c r="B28" s="25">
        <v>8.935</v>
      </c>
      <c r="C28" s="25">
        <v>5.585</v>
      </c>
      <c r="D28" s="26">
        <v>2739.22056514</v>
      </c>
    </row>
    <row r="29" spans="1:4">
      <c r="A29" s="4" t="s">
        <v>402</v>
      </c>
      <c r="B29" s="25">
        <v>11.809</v>
      </c>
      <c r="C29" s="25">
        <v>6.496</v>
      </c>
      <c r="D29" s="26">
        <v>3260.72787086</v>
      </c>
    </row>
    <row r="30" spans="1:4">
      <c r="A30" s="4" t="s">
        <v>403</v>
      </c>
      <c r="B30" s="25">
        <v>19.728</v>
      </c>
      <c r="C30" s="25">
        <v>8.226</v>
      </c>
      <c r="D30" s="26">
        <v>3813.82535583</v>
      </c>
    </row>
    <row r="31" spans="1:4">
      <c r="A31" s="4" t="s">
        <v>404</v>
      </c>
      <c r="B31" s="25">
        <v>10.242</v>
      </c>
      <c r="C31" s="25">
        <v>8.452</v>
      </c>
      <c r="D31" s="26">
        <v>4333.02189645</v>
      </c>
    </row>
    <row r="32" spans="1:4">
      <c r="A32" s="4" t="s">
        <v>405</v>
      </c>
      <c r="B32" s="25">
        <v>22.719</v>
      </c>
      <c r="C32" s="25">
        <v>9.85</v>
      </c>
      <c r="D32" s="26">
        <v>4867.52376499</v>
      </c>
    </row>
    <row r="33" spans="1:4">
      <c r="A33" s="4" t="s">
        <v>406</v>
      </c>
      <c r="B33" s="25">
        <v>14.485</v>
      </c>
      <c r="C33" s="25">
        <v>10.55</v>
      </c>
      <c r="D33" s="26">
        <v>5399.05017433</v>
      </c>
    </row>
    <row r="34" spans="1:4">
      <c r="A34" s="4" t="s">
        <v>407</v>
      </c>
      <c r="B34" s="25">
        <v>20.766</v>
      </c>
      <c r="C34" s="25">
        <v>11.46</v>
      </c>
      <c r="D34" s="26">
        <v>5949.53990277</v>
      </c>
    </row>
    <row r="35" spans="1:4">
      <c r="A35" s="4">
        <v>45689</v>
      </c>
      <c r="B35" s="25">
        <v>-3.473</v>
      </c>
      <c r="C35" s="25">
        <v>13.382</v>
      </c>
      <c r="D35" s="26">
        <v>946.95314317</v>
      </c>
    </row>
    <row r="36" spans="1:4">
      <c r="A36" s="4" t="s">
        <v>93</v>
      </c>
      <c r="B36" s="25">
        <v>29.737</v>
      </c>
      <c r="C36" s="25">
        <v>18.708</v>
      </c>
      <c r="D36" s="26">
        <v>1470.50145648</v>
      </c>
    </row>
    <row r="37" s="23" customFormat="1" spans="1:4">
      <c r="A37" s="2"/>
      <c r="B37" s="14"/>
      <c r="C37" s="14"/>
      <c r="D37" s="14"/>
    </row>
    <row r="38" spans="1:12">
      <c r="A38" s="4"/>
      <c r="F38" s="15"/>
      <c r="G38" s="15"/>
      <c r="H38" s="15"/>
      <c r="I38" s="15"/>
      <c r="J38" s="15"/>
      <c r="K38" s="15"/>
      <c r="L38" s="15"/>
    </row>
  </sheetData>
  <mergeCells count="6">
    <mergeCell ref="F15:L15"/>
    <mergeCell ref="F38:L38"/>
    <mergeCell ref="F3:F4"/>
    <mergeCell ref="F26:F27"/>
    <mergeCell ref="G26:L27"/>
    <mergeCell ref="G3:L4"/>
  </mergeCell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M38"/>
  <sheetViews>
    <sheetView topLeftCell="A7" workbookViewId="0">
      <selection activeCell="O19" sqref="O19"/>
    </sheetView>
  </sheetViews>
  <sheetFormatPr defaultColWidth="10" defaultRowHeight="15.75"/>
  <cols>
    <col min="2" max="2" width="10.5" customWidth="1"/>
    <col min="6" max="6" width="52.25" customWidth="1"/>
    <col min="7" max="7" width="1.75" customWidth="1"/>
  </cols>
  <sheetData>
    <row r="4" ht="11.25" customHeight="1" spans="3:13">
      <c r="C4" s="2" t="s">
        <v>409</v>
      </c>
      <c r="D4" s="2" t="s">
        <v>410</v>
      </c>
      <c r="G4" s="10"/>
      <c r="H4" s="11" t="s">
        <v>431</v>
      </c>
      <c r="I4" s="11"/>
      <c r="J4" s="11"/>
      <c r="K4" s="11"/>
      <c r="L4" s="11"/>
      <c r="M4" s="11"/>
    </row>
    <row r="5" ht="14.25" customHeight="1" spans="2:13">
      <c r="B5" s="4">
        <v>45352</v>
      </c>
      <c r="C5" s="7">
        <v>1.07</v>
      </c>
      <c r="D5" s="7">
        <v>24.9029</v>
      </c>
      <c r="E5" s="7"/>
      <c r="G5" s="12"/>
      <c r="H5" s="13"/>
      <c r="I5" s="13"/>
      <c r="J5" s="13"/>
      <c r="K5" s="13"/>
      <c r="L5" s="13"/>
      <c r="M5" s="13"/>
    </row>
    <row r="6" spans="2:5">
      <c r="B6" s="4" t="s">
        <v>399</v>
      </c>
      <c r="C6" s="7">
        <v>-2.46</v>
      </c>
      <c r="D6" s="7">
        <v>31.14</v>
      </c>
      <c r="E6" s="7"/>
    </row>
    <row r="7" spans="2:5">
      <c r="B7" s="4" t="s">
        <v>400</v>
      </c>
      <c r="C7" s="7">
        <v>-4.38</v>
      </c>
      <c r="D7" s="7">
        <v>36.9355</v>
      </c>
      <c r="E7" s="7"/>
    </row>
    <row r="8" spans="2:5">
      <c r="B8" s="4" t="s">
        <v>401</v>
      </c>
      <c r="C8" s="7">
        <v>3.86</v>
      </c>
      <c r="D8" s="7">
        <v>46.5913</v>
      </c>
      <c r="E8" s="7"/>
    </row>
    <row r="9" spans="2:5">
      <c r="B9" s="4" t="s">
        <v>402</v>
      </c>
      <c r="C9" s="7">
        <v>0.36</v>
      </c>
      <c r="D9" s="7">
        <v>47.8771</v>
      </c>
      <c r="E9" s="7"/>
    </row>
    <row r="10" spans="2:5">
      <c r="B10" s="4" t="s">
        <v>403</v>
      </c>
      <c r="C10" s="7">
        <v>-40</v>
      </c>
      <c r="D10" s="7">
        <v>49.6314</v>
      </c>
      <c r="E10" s="7"/>
    </row>
    <row r="11" spans="2:5">
      <c r="B11" s="4" t="s">
        <v>404</v>
      </c>
      <c r="C11" s="7">
        <v>-36.35</v>
      </c>
      <c r="D11" s="7">
        <v>52.6514</v>
      </c>
      <c r="E11" s="7"/>
    </row>
    <row r="12" spans="2:5">
      <c r="B12" s="4" t="s">
        <v>405</v>
      </c>
      <c r="C12" s="7">
        <v>-34.71</v>
      </c>
      <c r="D12" s="7">
        <v>54.0797</v>
      </c>
      <c r="E12" s="7"/>
    </row>
    <row r="13" spans="2:5">
      <c r="B13" s="4" t="s">
        <v>406</v>
      </c>
      <c r="C13" s="7">
        <v>-33.51</v>
      </c>
      <c r="D13" s="7">
        <v>55.2855</v>
      </c>
      <c r="E13" s="7"/>
    </row>
    <row r="14" spans="2:5">
      <c r="B14" s="4" t="s">
        <v>407</v>
      </c>
      <c r="C14" s="7">
        <v>-25.9</v>
      </c>
      <c r="D14" s="7">
        <v>65.4</v>
      </c>
      <c r="E14" s="7"/>
    </row>
    <row r="15" s="1" customFormat="1" spans="2:13">
      <c r="B15" s="4">
        <v>45658</v>
      </c>
      <c r="C15" s="7">
        <v>-34.52</v>
      </c>
      <c r="D15" s="7">
        <v>5.8411</v>
      </c>
      <c r="E15" s="7"/>
      <c r="G15" s="16"/>
      <c r="H15" s="16"/>
      <c r="I15" s="16"/>
      <c r="J15" s="16"/>
      <c r="K15" s="16"/>
      <c r="L15" s="16"/>
      <c r="M15" s="16"/>
    </row>
    <row r="16" spans="2:13">
      <c r="B16" s="4" t="s">
        <v>426</v>
      </c>
      <c r="C16" s="7">
        <v>-51.44</v>
      </c>
      <c r="D16" s="7">
        <v>8.2386</v>
      </c>
      <c r="E16" s="7"/>
      <c r="G16" s="15"/>
      <c r="H16" s="15"/>
      <c r="I16" s="15"/>
      <c r="J16" s="15"/>
      <c r="K16" s="15"/>
      <c r="L16" s="15"/>
      <c r="M16" s="15"/>
    </row>
    <row r="17" spans="2:5">
      <c r="B17" s="4" t="s">
        <v>93</v>
      </c>
      <c r="C17" s="7">
        <v>-43.62</v>
      </c>
      <c r="D17" s="7">
        <v>14.0414</v>
      </c>
      <c r="E17" s="7"/>
    </row>
    <row r="18" spans="4:4">
      <c r="D18" s="7"/>
    </row>
    <row r="23" ht="11.25" customHeight="1" spans="7:13">
      <c r="G23" s="10"/>
      <c r="H23" s="11" t="s">
        <v>432</v>
      </c>
      <c r="I23" s="11"/>
      <c r="J23" s="11"/>
      <c r="K23" s="11"/>
      <c r="L23" s="11"/>
      <c r="M23" s="11"/>
    </row>
    <row r="24" ht="14.25" customHeight="1" spans="2:13">
      <c r="B24" s="2"/>
      <c r="C24" s="7"/>
      <c r="D24" s="7"/>
      <c r="E24" s="7"/>
      <c r="G24" s="12"/>
      <c r="H24" s="13"/>
      <c r="I24" s="13"/>
      <c r="J24" s="13"/>
      <c r="K24" s="13"/>
      <c r="L24" s="13"/>
      <c r="M24" s="13"/>
    </row>
    <row r="25" spans="2:5">
      <c r="B25" s="2"/>
      <c r="C25" s="22" t="s">
        <v>408</v>
      </c>
      <c r="D25" s="2" t="s">
        <v>409</v>
      </c>
      <c r="E25" s="2" t="s">
        <v>410</v>
      </c>
    </row>
    <row r="26" spans="2:5">
      <c r="B26" s="4">
        <v>45352</v>
      </c>
      <c r="C26" s="7">
        <v>-5.27878587924778</v>
      </c>
      <c r="D26" s="7">
        <v>5.5316191799861</v>
      </c>
      <c r="E26" s="7">
        <v>0.7593</v>
      </c>
    </row>
    <row r="27" spans="2:5">
      <c r="B27" s="4" t="s">
        <v>399</v>
      </c>
      <c r="C27" s="7">
        <v>-6.0200668896321</v>
      </c>
      <c r="D27" s="7">
        <v>2.12076583210603</v>
      </c>
      <c r="E27" s="7">
        <v>1.0401</v>
      </c>
    </row>
    <row r="28" spans="2:5">
      <c r="B28" s="4" t="s">
        <v>400</v>
      </c>
      <c r="C28" s="7">
        <v>-6.72465707594514</v>
      </c>
      <c r="D28" s="7">
        <v>0.113860634583274</v>
      </c>
      <c r="E28" s="7">
        <v>1.3189</v>
      </c>
    </row>
    <row r="29" spans="2:5">
      <c r="B29" s="4" t="s">
        <v>401</v>
      </c>
      <c r="C29" s="7">
        <v>-13.7182910547397</v>
      </c>
      <c r="D29" s="7">
        <v>-2.44897959183673</v>
      </c>
      <c r="E29" s="7">
        <v>1.5774</v>
      </c>
    </row>
    <row r="30" spans="2:5">
      <c r="B30" s="4" t="s">
        <v>402</v>
      </c>
      <c r="C30" s="7">
        <v>-9.06413612565446</v>
      </c>
      <c r="D30" s="7">
        <v>-3.50046811609279</v>
      </c>
      <c r="E30" s="7">
        <v>1.8553</v>
      </c>
    </row>
    <row r="31" spans="2:5">
      <c r="B31" s="4" t="s">
        <v>403</v>
      </c>
      <c r="C31" s="7">
        <v>-5.03165611462846</v>
      </c>
      <c r="D31" s="7">
        <v>-3.70720295136545</v>
      </c>
      <c r="E31" s="7">
        <v>2.1403</v>
      </c>
    </row>
    <row r="32" spans="2:5">
      <c r="B32" s="4" t="s">
        <v>404</v>
      </c>
      <c r="C32" s="7">
        <v>14.5380934854619</v>
      </c>
      <c r="D32" s="7">
        <v>-1.71985246953175</v>
      </c>
      <c r="E32" s="7">
        <v>2.4515</v>
      </c>
    </row>
    <row r="33" spans="2:5">
      <c r="B33" s="4" t="s">
        <v>405</v>
      </c>
      <c r="C33" s="7">
        <v>3.21963659547337</v>
      </c>
      <c r="D33" s="7">
        <v>-1.16804957088423</v>
      </c>
      <c r="E33" s="7">
        <v>2.7753</v>
      </c>
    </row>
    <row r="34" spans="2:13">
      <c r="B34" s="4" t="s">
        <v>406</v>
      </c>
      <c r="C34" s="7">
        <v>-5.33443891652846</v>
      </c>
      <c r="D34" s="7">
        <v>-1.64358497113474</v>
      </c>
      <c r="E34" s="7">
        <v>3.1178</v>
      </c>
      <c r="G34" s="1"/>
      <c r="H34" s="1"/>
      <c r="I34" s="1"/>
      <c r="J34" s="1"/>
      <c r="K34" s="1"/>
      <c r="L34" s="1"/>
      <c r="M34" s="1"/>
    </row>
    <row r="35" ht="17.25" customHeight="1" spans="2:13">
      <c r="B35" s="4" t="s">
        <v>407</v>
      </c>
      <c r="C35" s="7">
        <v>-1.21331828442437</v>
      </c>
      <c r="D35" s="7">
        <v>-1.6003177936044</v>
      </c>
      <c r="E35" s="7">
        <v>3.4679</v>
      </c>
      <c r="G35" s="15"/>
      <c r="H35" s="15"/>
      <c r="I35" s="15"/>
      <c r="J35" s="15"/>
      <c r="K35" s="15"/>
      <c r="L35" s="15"/>
      <c r="M35" s="15"/>
    </row>
    <row r="36" spans="2:5">
      <c r="B36" s="4">
        <v>45689</v>
      </c>
      <c r="C36" s="7">
        <v>52.6124818577649</v>
      </c>
      <c r="D36" s="7">
        <v>2.60482846251588</v>
      </c>
      <c r="E36" s="7">
        <v>0.4845</v>
      </c>
    </row>
    <row r="37" spans="2:5">
      <c r="B37" s="4" t="s">
        <v>93</v>
      </c>
      <c r="C37" s="7">
        <v>-27.2898516599953</v>
      </c>
      <c r="D37" s="7">
        <v>4.5</v>
      </c>
      <c r="E37" s="7">
        <v>0.7933</v>
      </c>
    </row>
    <row r="38" spans="2:5">
      <c r="B38" s="4"/>
      <c r="C38" s="7"/>
      <c r="D38" s="7"/>
      <c r="E38" s="7"/>
    </row>
  </sheetData>
  <mergeCells count="6">
    <mergeCell ref="G16:M16"/>
    <mergeCell ref="G35:M35"/>
    <mergeCell ref="G4:G5"/>
    <mergeCell ref="G23:G24"/>
    <mergeCell ref="H23:M24"/>
    <mergeCell ref="H4:M5"/>
  </mergeCell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48"/>
  <sheetViews>
    <sheetView workbookViewId="0">
      <selection activeCell="E20" sqref="E20"/>
    </sheetView>
  </sheetViews>
  <sheetFormatPr defaultColWidth="10" defaultRowHeight="15.75"/>
  <cols>
    <col min="2" max="2" width="11.625" customWidth="1"/>
    <col min="3" max="4" width="12.625"/>
    <col min="5" max="5" width="44.25" customWidth="1"/>
    <col min="6" max="6" width="1.75" customWidth="1"/>
  </cols>
  <sheetData>
    <row r="1" spans="3:4">
      <c r="C1" t="s">
        <v>433</v>
      </c>
      <c r="D1" t="s">
        <v>434</v>
      </c>
    </row>
    <row r="2" ht="11.25" customHeight="1" spans="2:12">
      <c r="B2" s="4">
        <v>45352</v>
      </c>
      <c r="C2" s="17">
        <v>30</v>
      </c>
      <c r="D2" s="9">
        <v>96.8</v>
      </c>
      <c r="F2" s="10"/>
      <c r="G2" s="11" t="s">
        <v>435</v>
      </c>
      <c r="H2" s="11"/>
      <c r="I2" s="11"/>
      <c r="J2" s="11"/>
      <c r="K2" s="11"/>
      <c r="L2" s="11"/>
    </row>
    <row r="3" ht="14.25" customHeight="1" spans="2:12">
      <c r="B3" s="4" t="s">
        <v>399</v>
      </c>
      <c r="C3" s="17">
        <v>28</v>
      </c>
      <c r="D3" s="9">
        <v>93.3</v>
      </c>
      <c r="F3" s="12"/>
      <c r="G3" s="13"/>
      <c r="H3" s="13"/>
      <c r="I3" s="13"/>
      <c r="J3" s="13"/>
      <c r="K3" s="13"/>
      <c r="L3" s="13"/>
    </row>
    <row r="4" spans="2:4">
      <c r="B4" s="4" t="s">
        <v>400</v>
      </c>
      <c r="C4" s="17">
        <v>16</v>
      </c>
      <c r="D4" s="9">
        <v>51.6</v>
      </c>
    </row>
    <row r="5" spans="2:4">
      <c r="B5" s="4" t="s">
        <v>401</v>
      </c>
      <c r="C5" s="17">
        <v>23</v>
      </c>
      <c r="D5" s="9">
        <v>76.7</v>
      </c>
    </row>
    <row r="6" spans="2:4">
      <c r="B6" s="4" t="s">
        <v>402</v>
      </c>
      <c r="C6" s="17">
        <v>31</v>
      </c>
      <c r="D6" s="18">
        <v>100</v>
      </c>
    </row>
    <row r="7" spans="2:4">
      <c r="B7" s="4" t="s">
        <v>403</v>
      </c>
      <c r="C7" s="17">
        <v>15</v>
      </c>
      <c r="D7" s="18">
        <v>48.4</v>
      </c>
    </row>
    <row r="8" spans="2:4">
      <c r="B8" s="4" t="s">
        <v>404</v>
      </c>
      <c r="C8" s="17">
        <v>25</v>
      </c>
      <c r="D8" s="18">
        <v>83.3</v>
      </c>
    </row>
    <row r="9" spans="2:4">
      <c r="B9" s="4" t="s">
        <v>405</v>
      </c>
      <c r="C9" s="17">
        <v>30</v>
      </c>
      <c r="D9" s="18">
        <v>96.8</v>
      </c>
    </row>
    <row r="10" spans="2:4">
      <c r="B10" s="4" t="s">
        <v>406</v>
      </c>
      <c r="C10" s="17">
        <v>29</v>
      </c>
      <c r="D10" s="18">
        <v>96.7</v>
      </c>
    </row>
    <row r="11" spans="2:4">
      <c r="B11" s="4" t="s">
        <v>407</v>
      </c>
      <c r="C11" s="17">
        <v>28</v>
      </c>
      <c r="D11" s="18">
        <v>90.3</v>
      </c>
    </row>
    <row r="12" spans="2:4">
      <c r="B12" s="4">
        <v>45658</v>
      </c>
      <c r="C12" s="17">
        <v>26</v>
      </c>
      <c r="D12" s="19">
        <v>83.9</v>
      </c>
    </row>
    <row r="13" spans="2:4">
      <c r="B13" s="4" t="s">
        <v>426</v>
      </c>
      <c r="C13" s="17">
        <v>26</v>
      </c>
      <c r="D13" s="18">
        <v>92.9</v>
      </c>
    </row>
    <row r="14" spans="2:12">
      <c r="B14" s="4" t="s">
        <v>93</v>
      </c>
      <c r="C14" s="17">
        <v>30</v>
      </c>
      <c r="D14" s="18">
        <v>96.8</v>
      </c>
      <c r="F14" s="15"/>
      <c r="G14" s="15"/>
      <c r="H14" s="15"/>
      <c r="I14" s="15"/>
      <c r="J14" s="15"/>
      <c r="K14" s="15"/>
      <c r="L14" s="15"/>
    </row>
    <row r="15" spans="2:2">
      <c r="B15" s="4"/>
    </row>
    <row r="16" spans="2:2">
      <c r="B16" s="2"/>
    </row>
    <row r="20" ht="11.25" customHeight="1" spans="2:12">
      <c r="B20" s="4">
        <v>45352</v>
      </c>
      <c r="C20" s="20">
        <v>39.5</v>
      </c>
      <c r="F20" s="10"/>
      <c r="G20" s="11" t="s">
        <v>436</v>
      </c>
      <c r="H20" s="11"/>
      <c r="I20" s="11"/>
      <c r="J20" s="11"/>
      <c r="K20" s="11"/>
      <c r="L20" s="11"/>
    </row>
    <row r="21" ht="14.25" customHeight="1" spans="2:12">
      <c r="B21" s="4" t="s">
        <v>399</v>
      </c>
      <c r="C21" s="20">
        <v>26.1</v>
      </c>
      <c r="F21" s="12"/>
      <c r="G21" s="13"/>
      <c r="H21" s="13"/>
      <c r="I21" s="13"/>
      <c r="J21" s="13"/>
      <c r="K21" s="13"/>
      <c r="L21" s="13"/>
    </row>
    <row r="22" spans="2:3">
      <c r="B22" s="4" t="s">
        <v>400</v>
      </c>
      <c r="C22" s="20">
        <v>24.6</v>
      </c>
    </row>
    <row r="23" spans="2:3">
      <c r="B23" s="4" t="s">
        <v>401</v>
      </c>
      <c r="C23" s="7">
        <v>18</v>
      </c>
    </row>
    <row r="24" spans="2:3">
      <c r="B24" s="4" t="s">
        <v>402</v>
      </c>
      <c r="C24" s="20">
        <v>14.2</v>
      </c>
    </row>
    <row r="25" spans="2:3">
      <c r="B25" s="4" t="s">
        <v>403</v>
      </c>
      <c r="C25" s="20">
        <v>20.7</v>
      </c>
    </row>
    <row r="26" spans="2:3">
      <c r="B26" s="4" t="s">
        <v>404</v>
      </c>
      <c r="C26" s="20">
        <v>19.5</v>
      </c>
    </row>
    <row r="27" spans="2:3">
      <c r="B27" s="4" t="s">
        <v>405</v>
      </c>
      <c r="C27" s="20">
        <v>21.1</v>
      </c>
    </row>
    <row r="28" spans="2:3">
      <c r="B28" s="4" t="s">
        <v>406</v>
      </c>
      <c r="C28" s="20">
        <v>23.7</v>
      </c>
    </row>
    <row r="29" spans="2:3">
      <c r="B29" s="4" t="s">
        <v>407</v>
      </c>
      <c r="C29" s="20">
        <v>49.1</v>
      </c>
    </row>
    <row r="30" spans="2:3">
      <c r="B30" s="4">
        <v>45658</v>
      </c>
      <c r="C30" s="20">
        <v>53.9</v>
      </c>
    </row>
    <row r="31" spans="2:3">
      <c r="B31" s="4" t="s">
        <v>426</v>
      </c>
      <c r="C31" s="20">
        <v>45.6</v>
      </c>
    </row>
    <row r="32" spans="2:12">
      <c r="B32" s="4" t="s">
        <v>93</v>
      </c>
      <c r="C32" s="20">
        <v>30.9</v>
      </c>
      <c r="F32" s="15"/>
      <c r="G32" s="15"/>
      <c r="H32" s="15"/>
      <c r="I32" s="15"/>
      <c r="J32" s="15"/>
      <c r="K32" s="15"/>
      <c r="L32" s="15"/>
    </row>
    <row r="33" spans="2:2">
      <c r="B33" s="4"/>
    </row>
    <row r="34" spans="2:2">
      <c r="B34" s="2"/>
    </row>
    <row r="36" spans="4:4">
      <c r="D36" s="21"/>
    </row>
    <row r="37" spans="4:4">
      <c r="D37" s="21"/>
    </row>
    <row r="38" spans="4:4">
      <c r="D38" s="21"/>
    </row>
    <row r="42" spans="4:4">
      <c r="D42" s="21"/>
    </row>
    <row r="43" spans="4:4">
      <c r="D43" s="21"/>
    </row>
    <row r="44" spans="4:4">
      <c r="D44" s="21"/>
    </row>
    <row r="45" spans="4:4">
      <c r="D45" s="21"/>
    </row>
    <row r="47" spans="4:4">
      <c r="D47" s="7"/>
    </row>
    <row r="48" spans="4:4">
      <c r="D48" s="21"/>
    </row>
  </sheetData>
  <mergeCells count="6">
    <mergeCell ref="F14:L14"/>
    <mergeCell ref="F32:L32"/>
    <mergeCell ref="F2:F3"/>
    <mergeCell ref="F20:F21"/>
    <mergeCell ref="G20:L21"/>
    <mergeCell ref="G2:L3"/>
  </mergeCells>
  <pageMargins left="0.7" right="0.7" top="0.75" bottom="0.75" header="0.3" footer="0.3"/>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40"/>
  <sheetViews>
    <sheetView workbookViewId="0">
      <selection activeCell="F35" sqref="F35"/>
    </sheetView>
  </sheetViews>
  <sheetFormatPr defaultColWidth="10" defaultRowHeight="15.75"/>
  <cols>
    <col min="3" max="3" width="11.625" customWidth="1"/>
    <col min="6" max="6" width="35.125" customWidth="1"/>
    <col min="7" max="7" width="1.75" customWidth="1"/>
  </cols>
  <sheetData>
    <row r="2" spans="4:6">
      <c r="D2" s="2" t="s">
        <v>437</v>
      </c>
      <c r="E2" s="2" t="s">
        <v>438</v>
      </c>
      <c r="F2" s="2"/>
    </row>
    <row r="3" ht="11.25" customHeight="1" spans="2:13">
      <c r="B3" s="3"/>
      <c r="C3" s="4">
        <v>45352</v>
      </c>
      <c r="D3" s="14">
        <v>100.3</v>
      </c>
      <c r="E3" s="14">
        <v>100.2</v>
      </c>
      <c r="G3" s="10"/>
      <c r="H3" s="11" t="s">
        <v>439</v>
      </c>
      <c r="I3" s="11"/>
      <c r="J3" s="11"/>
      <c r="K3" s="11"/>
      <c r="L3" s="11"/>
      <c r="M3" s="11"/>
    </row>
    <row r="4" ht="14.25" customHeight="1" spans="2:13">
      <c r="B4" s="3"/>
      <c r="C4" s="4" t="s">
        <v>399</v>
      </c>
      <c r="D4" s="14">
        <v>100.3</v>
      </c>
      <c r="E4" s="14">
        <v>100.2</v>
      </c>
      <c r="G4" s="12"/>
      <c r="H4" s="13"/>
      <c r="I4" s="13"/>
      <c r="J4" s="13"/>
      <c r="K4" s="13"/>
      <c r="L4" s="13"/>
      <c r="M4" s="13"/>
    </row>
    <row r="5" spans="2:5">
      <c r="B5" s="3"/>
      <c r="C5" s="4" t="s">
        <v>400</v>
      </c>
      <c r="D5" s="14">
        <v>100.5</v>
      </c>
      <c r="E5" s="14">
        <v>100.2</v>
      </c>
    </row>
    <row r="6" spans="2:5">
      <c r="B6" s="3"/>
      <c r="C6" s="4" t="s">
        <v>401</v>
      </c>
      <c r="D6" s="7">
        <v>100.3</v>
      </c>
      <c r="E6" s="7">
        <v>100.3</v>
      </c>
    </row>
    <row r="7" spans="2:5">
      <c r="B7" s="3"/>
      <c r="C7" s="4" t="s">
        <v>402</v>
      </c>
      <c r="D7" s="14">
        <v>100.6</v>
      </c>
      <c r="E7" s="14">
        <v>100.3</v>
      </c>
    </row>
    <row r="8" spans="2:5">
      <c r="B8" s="3"/>
      <c r="C8" s="4" t="s">
        <v>403</v>
      </c>
      <c r="D8" s="14">
        <v>100.5</v>
      </c>
      <c r="E8" s="14">
        <v>100.3</v>
      </c>
    </row>
    <row r="9" spans="2:5">
      <c r="B9" s="3"/>
      <c r="C9" s="4" t="s">
        <v>404</v>
      </c>
      <c r="D9" s="14">
        <v>99.7</v>
      </c>
      <c r="E9" s="14">
        <v>100.3</v>
      </c>
    </row>
    <row r="10" spans="2:5">
      <c r="B10" s="6"/>
      <c r="C10" s="4" t="s">
        <v>405</v>
      </c>
      <c r="D10" s="7">
        <v>99.7</v>
      </c>
      <c r="E10" s="7">
        <v>100.2</v>
      </c>
    </row>
    <row r="11" spans="2:5">
      <c r="B11" s="6"/>
      <c r="C11" s="4" t="s">
        <v>406</v>
      </c>
      <c r="D11" s="14">
        <v>99.6</v>
      </c>
      <c r="E11" s="14">
        <v>100.1</v>
      </c>
    </row>
    <row r="12" spans="2:5">
      <c r="B12" s="6"/>
      <c r="C12" s="4" t="s">
        <v>407</v>
      </c>
      <c r="D12" s="14">
        <v>99.7</v>
      </c>
      <c r="E12" s="14">
        <v>100.1</v>
      </c>
    </row>
    <row r="13" spans="2:5">
      <c r="B13" s="6"/>
      <c r="C13" s="4">
        <v>45658</v>
      </c>
      <c r="D13" s="14">
        <v>100.4</v>
      </c>
      <c r="E13" s="14">
        <v>100.4</v>
      </c>
    </row>
    <row r="14" spans="2:13">
      <c r="B14" s="6"/>
      <c r="C14" s="4" t="s">
        <v>426</v>
      </c>
      <c r="D14" s="14">
        <v>98.56406396</v>
      </c>
      <c r="E14" s="14">
        <v>99.49401437</v>
      </c>
      <c r="G14" s="1"/>
      <c r="H14" s="1"/>
      <c r="I14" s="1"/>
      <c r="J14" s="1"/>
      <c r="K14" s="1"/>
      <c r="L14" s="1"/>
      <c r="M14" s="1"/>
    </row>
    <row r="15" spans="2:13">
      <c r="B15" s="6"/>
      <c r="C15" s="4" t="s">
        <v>93</v>
      </c>
      <c r="D15" s="14">
        <v>99.35150825</v>
      </c>
      <c r="E15" s="14">
        <v>99.44658971</v>
      </c>
      <c r="G15" s="15"/>
      <c r="H15" s="15"/>
      <c r="I15" s="15"/>
      <c r="J15" s="15"/>
      <c r="K15" s="15"/>
      <c r="L15" s="15"/>
      <c r="M15" s="15"/>
    </row>
    <row r="16" spans="3:4">
      <c r="C16" s="4"/>
      <c r="D16" s="5"/>
    </row>
    <row r="17" spans="3:3">
      <c r="C17" s="2"/>
    </row>
    <row r="25" ht="11.25" customHeight="1" spans="4:13">
      <c r="D25" s="2" t="s">
        <v>437</v>
      </c>
      <c r="E25" s="2" t="s">
        <v>438</v>
      </c>
      <c r="F25" s="2"/>
      <c r="G25" s="10"/>
      <c r="H25" s="11" t="s">
        <v>440</v>
      </c>
      <c r="I25" s="11"/>
      <c r="J25" s="11"/>
      <c r="K25" s="11"/>
      <c r="L25" s="11"/>
      <c r="M25" s="11"/>
    </row>
    <row r="26" ht="14.25" customHeight="1" spans="3:13">
      <c r="C26" s="4">
        <v>45352</v>
      </c>
      <c r="D26" s="7">
        <v>101</v>
      </c>
      <c r="E26" s="7">
        <v>101.3</v>
      </c>
      <c r="G26" s="12"/>
      <c r="H26" s="13"/>
      <c r="I26" s="13"/>
      <c r="J26" s="13"/>
      <c r="K26" s="13"/>
      <c r="L26" s="13"/>
      <c r="M26" s="13"/>
    </row>
    <row r="27" spans="3:5">
      <c r="C27" s="4" t="s">
        <v>399</v>
      </c>
      <c r="D27" s="7">
        <v>100.4</v>
      </c>
      <c r="E27" s="7">
        <v>101</v>
      </c>
    </row>
    <row r="28" spans="3:5">
      <c r="C28" s="4" t="s">
        <v>400</v>
      </c>
      <c r="D28" s="7">
        <v>99.6</v>
      </c>
      <c r="E28" s="7">
        <v>100.7</v>
      </c>
    </row>
    <row r="29" spans="3:5">
      <c r="C29" s="4" t="s">
        <v>401</v>
      </c>
      <c r="D29" s="7">
        <v>98.8</v>
      </c>
      <c r="E29" s="7">
        <v>100.4</v>
      </c>
    </row>
    <row r="30" spans="3:5">
      <c r="C30" s="4" t="s">
        <v>402</v>
      </c>
      <c r="D30" s="7">
        <v>98.5</v>
      </c>
      <c r="E30" s="7">
        <v>100.1</v>
      </c>
    </row>
    <row r="31" spans="3:5">
      <c r="C31" s="4" t="s">
        <v>403</v>
      </c>
      <c r="D31" s="7">
        <v>98.3</v>
      </c>
      <c r="E31" s="7">
        <v>99.9</v>
      </c>
    </row>
    <row r="32" spans="3:5">
      <c r="C32" s="4" t="s">
        <v>404</v>
      </c>
      <c r="D32" s="7">
        <v>97.6</v>
      </c>
      <c r="E32" s="7">
        <v>99.7</v>
      </c>
    </row>
    <row r="33" spans="3:5">
      <c r="C33" s="4" t="s">
        <v>405</v>
      </c>
      <c r="D33" s="7">
        <v>97</v>
      </c>
      <c r="E33" s="7">
        <v>99.4</v>
      </c>
    </row>
    <row r="34" spans="3:5">
      <c r="C34" s="4" t="s">
        <v>406</v>
      </c>
      <c r="D34" s="7">
        <v>97.4</v>
      </c>
      <c r="E34" s="7">
        <v>99.2</v>
      </c>
    </row>
    <row r="35" spans="3:5">
      <c r="C35" s="4" t="s">
        <v>407</v>
      </c>
      <c r="D35" s="7">
        <v>98</v>
      </c>
      <c r="E35" s="7">
        <v>99.1</v>
      </c>
    </row>
    <row r="36" spans="3:5">
      <c r="C36" s="4">
        <v>45658</v>
      </c>
      <c r="D36" s="7">
        <v>98.6</v>
      </c>
      <c r="E36" s="7">
        <v>98.6</v>
      </c>
    </row>
    <row r="37" spans="3:13">
      <c r="C37" s="4" t="s">
        <v>426</v>
      </c>
      <c r="D37" s="7">
        <v>98.7</v>
      </c>
      <c r="E37" s="7">
        <v>98.6</v>
      </c>
      <c r="G37" s="16"/>
      <c r="H37" s="16"/>
      <c r="I37" s="16"/>
      <c r="J37" s="16"/>
      <c r="K37" s="16"/>
      <c r="L37" s="16"/>
      <c r="M37" s="16"/>
    </row>
    <row r="38" spans="3:13">
      <c r="C38" s="4" t="s">
        <v>93</v>
      </c>
      <c r="D38" s="7">
        <v>99.2</v>
      </c>
      <c r="E38" s="7">
        <v>98.8</v>
      </c>
      <c r="G38" s="15"/>
      <c r="H38" s="15"/>
      <c r="I38" s="15"/>
      <c r="J38" s="15"/>
      <c r="K38" s="15"/>
      <c r="L38" s="15"/>
      <c r="M38" s="15"/>
    </row>
    <row r="39" spans="3:3">
      <c r="C39" s="4"/>
    </row>
    <row r="40" spans="3:3">
      <c r="C40" s="2"/>
    </row>
  </sheetData>
  <mergeCells count="8">
    <mergeCell ref="G15:M15"/>
    <mergeCell ref="G38:M38"/>
    <mergeCell ref="B3:B9"/>
    <mergeCell ref="B10:B15"/>
    <mergeCell ref="G3:G4"/>
    <mergeCell ref="G25:G26"/>
    <mergeCell ref="H25:M26"/>
    <mergeCell ref="H3:M4"/>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40"/>
  <sheetViews>
    <sheetView topLeftCell="A19" workbookViewId="0">
      <selection activeCell="P17" sqref="P17"/>
    </sheetView>
  </sheetViews>
  <sheetFormatPr defaultColWidth="10" defaultRowHeight="15.75"/>
  <cols>
    <col min="3" max="3" width="11.625" customWidth="1"/>
    <col min="6" max="6" width="37" customWidth="1"/>
    <col min="7" max="7" width="1.75" customWidth="1"/>
  </cols>
  <sheetData>
    <row r="2" spans="4:6">
      <c r="D2" s="2" t="s">
        <v>437</v>
      </c>
      <c r="E2" s="2" t="s">
        <v>438</v>
      </c>
      <c r="F2" s="2"/>
    </row>
    <row r="3" ht="14.25" customHeight="1" spans="2:13">
      <c r="B3" s="3"/>
      <c r="C3" s="4">
        <v>45352</v>
      </c>
      <c r="D3" s="5">
        <v>96.4075</v>
      </c>
      <c r="E3" s="9">
        <v>95.8735</v>
      </c>
      <c r="G3" s="10"/>
      <c r="H3" s="11" t="s">
        <v>441</v>
      </c>
      <c r="I3" s="11"/>
      <c r="J3" s="11"/>
      <c r="K3" s="11"/>
      <c r="L3" s="11"/>
      <c r="M3" s="11"/>
    </row>
    <row r="4" ht="14.25" customHeight="1" spans="2:13">
      <c r="B4" s="3"/>
      <c r="C4" s="4" t="s">
        <v>399</v>
      </c>
      <c r="D4" s="5">
        <v>97.1562</v>
      </c>
      <c r="E4" s="9">
        <v>96.1916</v>
      </c>
      <c r="G4" s="12"/>
      <c r="H4" s="13"/>
      <c r="I4" s="13"/>
      <c r="J4" s="13"/>
      <c r="K4" s="13"/>
      <c r="L4" s="13"/>
      <c r="M4" s="13"/>
    </row>
    <row r="5" spans="2:5">
      <c r="B5" s="3"/>
      <c r="C5" s="4" t="s">
        <v>400</v>
      </c>
      <c r="D5" s="5">
        <v>98.5246</v>
      </c>
      <c r="E5" s="9">
        <v>96.6505</v>
      </c>
    </row>
    <row r="6" spans="2:6">
      <c r="B6" s="3"/>
      <c r="C6" s="4" t="s">
        <v>401</v>
      </c>
      <c r="D6" s="5">
        <v>99.0738</v>
      </c>
      <c r="E6" s="9">
        <v>97.0457</v>
      </c>
      <c r="F6" s="14"/>
    </row>
    <row r="7" spans="2:6">
      <c r="B7" s="3"/>
      <c r="C7" s="4" t="s">
        <v>402</v>
      </c>
      <c r="D7" s="5">
        <v>100.0752</v>
      </c>
      <c r="E7" s="9">
        <v>97.465</v>
      </c>
      <c r="F7" s="14"/>
    </row>
    <row r="8" spans="2:6">
      <c r="B8" s="3"/>
      <c r="C8" s="4" t="s">
        <v>403</v>
      </c>
      <c r="D8" s="5">
        <v>99.8418</v>
      </c>
      <c r="E8" s="9">
        <v>97.7542</v>
      </c>
      <c r="F8" s="14"/>
    </row>
    <row r="9" spans="2:6">
      <c r="B9" s="3"/>
      <c r="C9" s="4" t="s">
        <v>404</v>
      </c>
      <c r="D9" s="5">
        <v>98.7003</v>
      </c>
      <c r="E9" s="9">
        <v>97.8573</v>
      </c>
      <c r="F9" s="14"/>
    </row>
    <row r="10" spans="2:6">
      <c r="B10" s="6"/>
      <c r="C10" s="4" t="s">
        <v>405</v>
      </c>
      <c r="D10" s="5">
        <v>98.009</v>
      </c>
      <c r="E10" s="9">
        <v>97.8722</v>
      </c>
      <c r="F10" s="14"/>
    </row>
    <row r="11" spans="2:6">
      <c r="B11" s="6"/>
      <c r="C11" s="4" t="s">
        <v>406</v>
      </c>
      <c r="D11" s="5">
        <v>98.5955</v>
      </c>
      <c r="E11" s="9">
        <v>97.9366</v>
      </c>
      <c r="F11" s="14"/>
    </row>
    <row r="12" spans="2:6">
      <c r="B12" s="6"/>
      <c r="C12" s="4" t="s">
        <v>407</v>
      </c>
      <c r="D12" s="5">
        <v>98.0065</v>
      </c>
      <c r="E12" s="9">
        <v>97.9423</v>
      </c>
      <c r="F12" s="14"/>
    </row>
    <row r="13" spans="2:6">
      <c r="B13" s="6"/>
      <c r="C13" s="4">
        <v>45658</v>
      </c>
      <c r="D13" s="5">
        <v>98.1</v>
      </c>
      <c r="E13" s="9">
        <v>98.1</v>
      </c>
      <c r="F13" s="14"/>
    </row>
    <row r="14" spans="2:6">
      <c r="B14" s="6"/>
      <c r="C14" s="4" t="s">
        <v>426</v>
      </c>
      <c r="D14" s="5">
        <v>97.8767</v>
      </c>
      <c r="E14" s="9">
        <v>98.0053</v>
      </c>
      <c r="F14" s="14"/>
    </row>
    <row r="15" spans="2:13">
      <c r="B15" s="6"/>
      <c r="C15" s="4" t="s">
        <v>93</v>
      </c>
      <c r="D15" s="5">
        <v>96.841</v>
      </c>
      <c r="E15" s="9">
        <v>97.6153</v>
      </c>
      <c r="F15" s="14"/>
      <c r="G15" s="1"/>
      <c r="H15" s="1"/>
      <c r="I15" s="1"/>
      <c r="J15" s="1"/>
      <c r="K15" s="1"/>
      <c r="L15" s="1"/>
      <c r="M15" s="1"/>
    </row>
    <row r="16" spans="2:13">
      <c r="B16" s="6"/>
      <c r="C16" s="4"/>
      <c r="G16" s="15"/>
      <c r="H16" s="15"/>
      <c r="I16" s="15"/>
      <c r="J16" s="15"/>
      <c r="K16" s="15"/>
      <c r="L16" s="15"/>
      <c r="M16" s="15"/>
    </row>
    <row r="17" spans="3:3">
      <c r="C17" s="2"/>
    </row>
    <row r="25" spans="4:6">
      <c r="D25" s="2" t="s">
        <v>437</v>
      </c>
      <c r="E25" s="2" t="s">
        <v>438</v>
      </c>
      <c r="F25" s="2"/>
    </row>
    <row r="26" ht="11.25" customHeight="1" spans="3:13">
      <c r="C26" s="4">
        <v>45352</v>
      </c>
      <c r="D26" s="7">
        <v>98.807</v>
      </c>
      <c r="E26" s="7">
        <v>98.8001</v>
      </c>
      <c r="F26" s="14"/>
      <c r="G26" s="10"/>
      <c r="H26" s="11" t="s">
        <v>442</v>
      </c>
      <c r="I26" s="11"/>
      <c r="J26" s="11"/>
      <c r="K26" s="11"/>
      <c r="L26" s="11"/>
      <c r="M26" s="11"/>
    </row>
    <row r="27" ht="14.25" customHeight="1" spans="3:13">
      <c r="C27" s="4" t="s">
        <v>399</v>
      </c>
      <c r="D27" s="7">
        <v>98.7685</v>
      </c>
      <c r="E27" s="7">
        <v>98.7922</v>
      </c>
      <c r="F27" s="14"/>
      <c r="G27" s="12"/>
      <c r="H27" s="13"/>
      <c r="I27" s="13"/>
      <c r="J27" s="13"/>
      <c r="K27" s="13"/>
      <c r="L27" s="13"/>
      <c r="M27" s="13"/>
    </row>
    <row r="28" spans="3:6">
      <c r="C28" s="4" t="s">
        <v>400</v>
      </c>
      <c r="D28" s="7">
        <v>99.2507</v>
      </c>
      <c r="E28" s="7">
        <v>98.8836</v>
      </c>
      <c r="F28" s="14"/>
    </row>
    <row r="29" spans="3:6">
      <c r="C29" s="4" t="s">
        <v>401</v>
      </c>
      <c r="D29" s="7">
        <v>99.6615</v>
      </c>
      <c r="E29" s="7">
        <v>99.013</v>
      </c>
      <c r="F29" s="14"/>
    </row>
    <row r="30" spans="3:6">
      <c r="C30" s="4" t="s">
        <v>402</v>
      </c>
      <c r="D30" s="7">
        <v>99.9604</v>
      </c>
      <c r="E30" s="7">
        <v>99.1478</v>
      </c>
      <c r="F30" s="14"/>
    </row>
    <row r="31" spans="3:6">
      <c r="C31" s="4" t="s">
        <v>403</v>
      </c>
      <c r="D31" s="7">
        <v>99.4362</v>
      </c>
      <c r="E31" s="7">
        <v>99.1837</v>
      </c>
      <c r="F31" s="14"/>
    </row>
    <row r="32" spans="3:6">
      <c r="C32" s="4" t="s">
        <v>404</v>
      </c>
      <c r="D32" s="7">
        <v>98.2772</v>
      </c>
      <c r="E32" s="7">
        <v>99.0827</v>
      </c>
      <c r="F32" s="14"/>
    </row>
    <row r="33" spans="3:6">
      <c r="C33" s="4" t="s">
        <v>405</v>
      </c>
      <c r="D33" s="7">
        <v>98.3854</v>
      </c>
      <c r="E33" s="7">
        <v>99.0131</v>
      </c>
      <c r="F33" s="14"/>
    </row>
    <row r="34" spans="3:6">
      <c r="C34" s="4" t="s">
        <v>406</v>
      </c>
      <c r="D34" s="7">
        <v>99.1269</v>
      </c>
      <c r="E34" s="7">
        <v>99.0234</v>
      </c>
      <c r="F34" s="14"/>
    </row>
    <row r="35" spans="3:6">
      <c r="C35" s="4" t="s">
        <v>407</v>
      </c>
      <c r="D35" s="7">
        <v>98.8374</v>
      </c>
      <c r="E35" s="7">
        <v>99.008</v>
      </c>
      <c r="F35" s="14"/>
    </row>
    <row r="36" spans="3:6">
      <c r="C36" s="8">
        <v>45658</v>
      </c>
      <c r="D36" s="7">
        <v>98.8</v>
      </c>
      <c r="E36" s="7">
        <v>98.8</v>
      </c>
      <c r="F36" s="14"/>
    </row>
    <row r="37" spans="3:6">
      <c r="C37" s="8" t="s">
        <v>426</v>
      </c>
      <c r="D37" s="7">
        <v>98.3104</v>
      </c>
      <c r="E37" s="7">
        <v>98.5799</v>
      </c>
      <c r="F37" s="14"/>
    </row>
    <row r="38" spans="3:13">
      <c r="C38" s="4" t="s">
        <v>93</v>
      </c>
      <c r="D38" s="7">
        <v>97.8812</v>
      </c>
      <c r="E38" s="7">
        <v>98.3468</v>
      </c>
      <c r="F38" s="14"/>
      <c r="G38" s="16"/>
      <c r="H38" s="16"/>
      <c r="I38" s="16"/>
      <c r="J38" s="16"/>
      <c r="K38" s="16"/>
      <c r="L38" s="16"/>
      <c r="M38" s="16"/>
    </row>
    <row r="39" spans="3:13">
      <c r="C39" s="4"/>
      <c r="G39" s="15"/>
      <c r="H39" s="15"/>
      <c r="I39" s="15"/>
      <c r="J39" s="15"/>
      <c r="K39" s="15"/>
      <c r="L39" s="15"/>
      <c r="M39" s="15"/>
    </row>
    <row r="40" spans="3:3">
      <c r="C40" s="2"/>
    </row>
  </sheetData>
  <mergeCells count="8">
    <mergeCell ref="G16:M16"/>
    <mergeCell ref="G39:M39"/>
    <mergeCell ref="B3:B9"/>
    <mergeCell ref="B10:B16"/>
    <mergeCell ref="G3:G4"/>
    <mergeCell ref="G26:G27"/>
    <mergeCell ref="H26:M27"/>
    <mergeCell ref="H3:M4"/>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29" sqref="A29"/>
    </sheetView>
  </sheetViews>
  <sheetFormatPr defaultColWidth="10" defaultRowHeight="15.75" outlineLevelRow="7"/>
  <cols>
    <col min="1" max="1" width="255" customWidth="1"/>
  </cols>
  <sheetData>
    <row r="1" spans="1:1">
      <c r="A1" s="2" t="s">
        <v>443</v>
      </c>
    </row>
    <row r="2" spans="1:1">
      <c r="A2" s="2" t="s">
        <v>444</v>
      </c>
    </row>
    <row r="3" spans="1:1">
      <c r="A3" s="2" t="s">
        <v>445</v>
      </c>
    </row>
    <row r="4" s="1" customFormat="1" spans="1:1">
      <c r="A4" s="1" t="s">
        <v>446</v>
      </c>
    </row>
    <row r="5" spans="1:1">
      <c r="A5" s="2" t="s">
        <v>447</v>
      </c>
    </row>
    <row r="6" spans="1:1">
      <c r="A6" s="2" t="s">
        <v>448</v>
      </c>
    </row>
    <row r="7" spans="1:1">
      <c r="A7" s="2" t="s">
        <v>449</v>
      </c>
    </row>
    <row r="8" spans="1:1">
      <c r="A8" s="2" t="s">
        <v>450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tjj</Company>
  <Application>Microsoft Excel</Application>
  <HeadingPairs>
    <vt:vector size="2" baseType="variant">
      <vt:variant>
        <vt:lpstr>工作表</vt:lpstr>
      </vt:variant>
      <vt:variant>
        <vt:i4>17</vt:i4>
      </vt:variant>
    </vt:vector>
  </HeadingPairs>
  <TitlesOfParts>
    <vt:vector size="17" baseType="lpstr">
      <vt:lpstr>Sheet1</vt:lpstr>
      <vt:lpstr>全市和分区</vt:lpstr>
      <vt:lpstr>1</vt:lpstr>
      <vt:lpstr>2</vt:lpstr>
      <vt:lpstr>3</vt:lpstr>
      <vt:lpstr>4</vt:lpstr>
      <vt:lpstr>5</vt:lpstr>
      <vt:lpstr>6</vt:lpstr>
      <vt:lpstr>7</vt:lpstr>
      <vt:lpstr>8</vt:lpstr>
      <vt:lpstr>9</vt:lpstr>
      <vt:lpstr>10</vt:lpstr>
      <vt:lpstr>11</vt:lpstr>
      <vt:lpstr>12</vt:lpstr>
      <vt:lpstr>13</vt:lpstr>
      <vt:lpstr>14</vt:lpstr>
      <vt:lpstr>指标解释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蒋荣华(综合部门核稿)</dc:creator>
  <cp:lastModifiedBy>user</cp:lastModifiedBy>
  <dcterms:created xsi:type="dcterms:W3CDTF">2004-06-26T08:38:00Z</dcterms:created>
  <cp:lastPrinted>2022-12-10T15:02:00Z</cp:lastPrinted>
  <dcterms:modified xsi:type="dcterms:W3CDTF">2025-04-25T15:21:32Z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6ec8fbcf977a4d799c996bd2505d1dc3</vt:lpwstr>
  </property>
  <property fmtid="{D5CDD505-2E9C-101B-9397-08002B2CF9AE}" pid="3" name="KSOProductBuildVer">
    <vt:lpwstr>2052-12.8.2.1113</vt:lpwstr>
  </property>
</Properties>
</file>